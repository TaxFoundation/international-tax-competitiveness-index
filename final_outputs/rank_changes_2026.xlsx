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international-tax-competitiveness-index\final_outputs\"/>
    </mc:Choice>
  </mc:AlternateContent>
  <xr:revisionPtr revIDLastSave="0" documentId="13_ncr:1_{FD23A382-BF4F-4C6A-84B4-4A1AEF2DF6B7}" xr6:coauthVersionLast="47" xr6:coauthVersionMax="47" xr10:uidLastSave="{00000000-0000-0000-0000-000000000000}"/>
  <bookViews>
    <workbookView xWindow="-98" yWindow="-98" windowWidth="21795" windowHeight="13875" xr2:uid="{67B8F1EA-256E-450E-AACF-1BF85E979D51}"/>
  </bookViews>
  <sheets>
    <sheet name="Rank changes 2026" sheetId="1" r:id="rId1"/>
  </sheets>
  <definedNames>
    <definedName name="_xlnm._FilterDatabase" localSheetId="0" hidden="1">'Rank changes 2026'!$A$1:$G$1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9" i="1" l="1"/>
  <c r="C39" i="1"/>
  <c r="B39" i="1"/>
  <c r="D38" i="1"/>
  <c r="C38" i="1"/>
  <c r="B38"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D23" i="1"/>
  <c r="C23" i="1"/>
  <c r="B23" i="1"/>
  <c r="D22" i="1"/>
  <c r="C22" i="1"/>
  <c r="B22" i="1"/>
  <c r="D21" i="1"/>
  <c r="C21" i="1"/>
  <c r="B21" i="1"/>
  <c r="D20" i="1"/>
  <c r="C20" i="1"/>
  <c r="B20" i="1"/>
  <c r="D19" i="1"/>
  <c r="C19" i="1"/>
  <c r="B19" i="1"/>
  <c r="D18" i="1"/>
  <c r="C18" i="1"/>
  <c r="B18" i="1"/>
  <c r="D17" i="1"/>
  <c r="C17" i="1"/>
  <c r="B17" i="1"/>
  <c r="D16" i="1"/>
  <c r="C16" i="1"/>
  <c r="B16" i="1"/>
  <c r="D15" i="1"/>
  <c r="C15" i="1"/>
  <c r="B15" i="1"/>
  <c r="D14" i="1"/>
  <c r="C14" i="1"/>
  <c r="B14" i="1"/>
  <c r="D13" i="1"/>
  <c r="C13" i="1"/>
  <c r="B13" i="1"/>
  <c r="D12" i="1"/>
  <c r="C12" i="1"/>
  <c r="B12" i="1"/>
  <c r="D11" i="1"/>
  <c r="C11" i="1"/>
  <c r="B11" i="1"/>
  <c r="D10" i="1"/>
  <c r="C10" i="1"/>
  <c r="B10" i="1"/>
  <c r="D9" i="1"/>
  <c r="C9" i="1"/>
  <c r="B9" i="1"/>
  <c r="D8" i="1"/>
  <c r="C8" i="1"/>
  <c r="B8" i="1"/>
  <c r="D7" i="1"/>
  <c r="C7" i="1"/>
  <c r="B7" i="1"/>
  <c r="D6" i="1"/>
  <c r="C6" i="1"/>
  <c r="B6" i="1"/>
  <c r="D5" i="1"/>
  <c r="C5" i="1"/>
  <c r="B5" i="1"/>
  <c r="D4" i="1"/>
  <c r="C4" i="1"/>
  <c r="B4" i="1"/>
  <c r="D3" i="1"/>
  <c r="C3" i="1"/>
  <c r="B3" i="1"/>
  <c r="D2" i="1"/>
  <c r="C2" i="1"/>
  <c r="B2" i="1"/>
</calcChain>
</file>

<file path=xl/sharedStrings.xml><?xml version="1.0" encoding="utf-8"?>
<sst xmlns="http://schemas.openxmlformats.org/spreadsheetml/2006/main" count="109" uniqueCount="102">
  <si>
    <t>Country</t>
  </si>
  <si>
    <t>Rank 2025 edition</t>
  </si>
  <si>
    <t>Rank 2026</t>
  </si>
  <si>
    <t>Change</t>
  </si>
  <si>
    <t>Policy change 2025 to 2026</t>
  </si>
  <si>
    <t>Revision to 2025 value since publication</t>
  </si>
  <si>
    <t>Methodology change</t>
  </si>
  <si>
    <t>Estonia</t>
  </si>
  <si>
    <t>CFC active 0 -&gt; 0.5 (ATAD Model B)</t>
  </si>
  <si>
    <t>Latvia</t>
  </si>
  <si>
    <t>Top PIT rate corrected to 36%; threshold 9.9x -&gt; 12.1x average income (OECD reported zero)</t>
  </si>
  <si>
    <t>CFC active 0 -&gt; 0.5</t>
  </si>
  <si>
    <t>New Zealand</t>
  </si>
  <si>
    <t>Dividend WHT 30% -&gt; 0 (imputation netted out)</t>
  </si>
  <si>
    <t>Switzerland</t>
  </si>
  <si>
    <t>Revenue measures now shares of tax revenue, not GDP (was 2nd highest)</t>
  </si>
  <si>
    <t>Lithuania</t>
  </si>
  <si>
    <t>Luxembourg</t>
  </si>
  <si>
    <t>Australia</t>
  </si>
  <si>
    <t>Dividend WHT 30% -&gt; 0 (franking netted out)</t>
  </si>
  <si>
    <t>Czech Republic</t>
  </si>
  <si>
    <t>Israel</t>
  </si>
  <si>
    <t>Both participation exemptions 1 -&gt; 0.5 (Section 67A holding regime only)</t>
  </si>
  <si>
    <t>Turkey</t>
  </si>
  <si>
    <t>CFC exemptions -&gt; 0 (rate test); capital gains exemption 1 -&gt; 0.5 (holding regime only)</t>
  </si>
  <si>
    <t>Sweden</t>
  </si>
  <si>
    <t>Revenue-share denominators</t>
  </si>
  <si>
    <t>Hungary</t>
  </si>
  <si>
    <t>New turnover tax variable (highest value in the Index, about half of business tax revenue); CFC active 0 -&gt; 0.5</t>
  </si>
  <si>
    <t>Costa Rica</t>
  </si>
  <si>
    <t>Revenue-share denominators (was 1.21% of GDP)</t>
  </si>
  <si>
    <t>Slovak Republic</t>
  </si>
  <si>
    <t>Top PIT rate 35.1% -&gt; 44.4%; threshold 2.9x -&gt; 3.5x; R&amp;D credit up</t>
  </si>
  <si>
    <t>Corporate alt. minimum 3 -&gt; 4; VAT threshold EUR 122k -&gt; 98k</t>
  </si>
  <si>
    <t>Dividend WHT 35% -&gt; 19% (35% is the non-cooperative-jurisdiction rate)</t>
  </si>
  <si>
    <t>Canada</t>
  </si>
  <si>
    <t>R&amp;D credit up</t>
  </si>
  <si>
    <t>Intangibles cost recovery 52% -&gt; 100%; machinery to 100%</t>
  </si>
  <si>
    <t>Netherlands</t>
  </si>
  <si>
    <t>United States</t>
  </si>
  <si>
    <t>Austria</t>
  </si>
  <si>
    <t>Germany</t>
  </si>
  <si>
    <t>Norway</t>
  </si>
  <si>
    <t>Mexico</t>
  </si>
  <si>
    <t>CFC exemptions -&gt; 0 (rate test)</t>
  </si>
  <si>
    <t>Finland</t>
  </si>
  <si>
    <t>CFC exemptions corrected to 0</t>
  </si>
  <si>
    <t>Korea</t>
  </si>
  <si>
    <t>Intangibles cost recovery 74% -&gt; 81%; R&amp;D credit up</t>
  </si>
  <si>
    <t>Greece</t>
  </si>
  <si>
    <t>Patent box 0 -&gt; 1; financial transaction tax 0 -&gt; 1; country limitations 1 -&gt; 0</t>
  </si>
  <si>
    <t>New turnover tax variable</t>
  </si>
  <si>
    <t>Chile</t>
  </si>
  <si>
    <t>Buildings cost recovery 33.8% -&gt; 42.3% and machinery 63.3% -&gt; 70.6% (cost recovery script corrected); corporate alt. minimum 0 -&gt; 1</t>
  </si>
  <si>
    <t>Dividend WHT 35% -&gt; 17.45% (integration); CFC exemptions -&gt; 0 and active -&gt; 0</t>
  </si>
  <si>
    <t>Japan</t>
  </si>
  <si>
    <t>Slovenia</t>
  </si>
  <si>
    <t>Thin capitalisation 0.5 -&gt; 1 (30% EBITDA rule)</t>
  </si>
  <si>
    <t>Poland</t>
  </si>
  <si>
    <t>VAT threshold up about 20%</t>
  </si>
  <si>
    <t>Capital gains exemption 0 -&gt; 1 (PSH regime; full score, no asset or activity test)</t>
  </si>
  <si>
    <t>Iceland</t>
  </si>
  <si>
    <t>Revenue-share denominators (was 1.58% of GDP)</t>
  </si>
  <si>
    <t>Denmark</t>
  </si>
  <si>
    <t>Belgium</t>
  </si>
  <si>
    <t>New 10% capital gains tax</t>
  </si>
  <si>
    <t>Ireland</t>
  </si>
  <si>
    <t>Portugal</t>
  </si>
  <si>
    <t>Corporate rate 30.5% -&gt; 29.5%</t>
  </si>
  <si>
    <t>United Kingdom</t>
  </si>
  <si>
    <t>R&amp;D credit 18.75% -&gt; 18%</t>
  </si>
  <si>
    <t>Property tax collections remain the binding constraint</t>
  </si>
  <si>
    <t>Spain</t>
  </si>
  <si>
    <t>Corporate alt. minimum 3 -&gt; 6; top PIT rate 45% -&gt; 48.6%</t>
  </si>
  <si>
    <t>Italy</t>
  </si>
  <si>
    <t>Revenue-share denominators (highest unallocable share, 43.5%)</t>
  </si>
  <si>
    <t>Colombia</t>
  </si>
  <si>
    <t>Both participation exemptions 0 -&gt; 0.5 (CHC regime)</t>
  </si>
  <si>
    <t>France</t>
  </si>
  <si>
    <t>Capital gains rate 34% -&gt; 35.4%</t>
  </si>
  <si>
    <t>VAT threshold EUR 132k -&gt; 122k</t>
  </si>
  <si>
    <t>CFC active 1 -&gt; 0.5 (substantial-activity escape)</t>
  </si>
  <si>
    <t>Change is positive where a country improved. Column E covers changes between the two Index years; column F covers revisions to the 2025 value made since the 2025 edition was published; column G covers changes in how a variable is scored.</t>
  </si>
  <si>
    <t>Applying to all countries: the two unallocable-revenue complexity measures are now expressed as shares of tax revenue rather than of GDP, and the Index now uses 43 variables rather than 42.</t>
  </si>
  <si>
    <t>Only discrete statutory changes are listed. Excluded are the labour tax wedge, VAT bases, VAT thresholds and property tax collections, which move with the underlying economics as well as with policy, and revisions confined to years before 2025.</t>
  </si>
  <si>
    <t>QDMTT introduction.Corporate alt. minimum 0 -&gt; 1</t>
  </si>
  <si>
    <t>QDMTT introduction. Corporate alt. minimum 0 -&gt; 1</t>
  </si>
  <si>
    <t>Including Colombia's domestic minimum tax. Minimum tax 0 -&gt; 0.5</t>
  </si>
  <si>
    <t>Elimination of small business rate. Corporate alt. minimum 1 -&gt; 0.</t>
  </si>
  <si>
    <t>Digital services tax 1 -&gt; 0. Investment obligation, not a DST.</t>
  </si>
  <si>
    <t>Corporate rate 16% -&gt; 17%; dividend WHT 16% -&gt; 17%; full expensing policy: machinery and intangibles cost recovery to 100%; R&amp;D credit up</t>
  </si>
  <si>
    <t>Abolition of surcharge on capital gains. Capital gains rate 23% -&gt; 0</t>
  </si>
  <si>
    <t>Corporate alt. minimum 1 -&gt; 2; digital services tax 1 -&gt; 0 (zero-rated); R&amp;D credit up</t>
  </si>
  <si>
    <t>Thin capitalisation 0.5 -&gt; 1 (EIFEL)</t>
  </si>
  <si>
    <t>CFC rules 0.33 -&gt; 0.67 (NCTI reaches active income); patent box 1 -&gt; 0 (FDII abolition, general export subsidy); R&amp;D credit sharply up</t>
  </si>
  <si>
    <t>Buildings cost recovery 33.8% -&gt; 40.9% (correction to previous calculation); CFC exemptions -&gt; 0 (rate test)</t>
  </si>
  <si>
    <t>Personal income tax cut: Top PIT rate 56.9% -&gt; 50.4%; phaseout of accelerated depreciation: machinery cost recovery 93% -&gt; 83%</t>
  </si>
  <si>
    <t>Corporate rate 26.4% -&gt; 27.5%; corporate alt. minimum 4 -&gt; 5 due to QDMTT introduction</t>
  </si>
  <si>
    <t>Minimum tax 0.5 -&gt; 1 (UTPR); corporate alt. minimum 8 -&gt; 9 (QDMTT)</t>
  </si>
  <si>
    <t>Corporate alt. minimum 1 -&gt; 8 (revised from source notes, counting 9 unique rates based on income, revenue, and capital)</t>
  </si>
  <si>
    <t>Top PIT rate 36% -&gt; 45.4%; including social contributions at the top rate threshold</t>
  </si>
  <si>
    <t>New top PIT rate 55.9% -&gt; 60.5%; threshold 1.2x -&gt; 5.4x average salary (new top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</si>
</sst>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FA70-2011-4618-99FB-E7460CA9A0BD}">
  <dimension ref="A1:G43"/>
  <sheetViews>
    <sheetView tabSelected="1" workbookViewId="0">
      <pane ySplit="1" topLeftCell="A29" activePane="bottomLeft" state="frozenSplit"/>
      <selection pane="bottomLeft" activeCell="C43" sqref="C43"/>
    </sheetView>
  </sheetViews>
  <sheetFormatPr defaultRowHeight="14.25" x14ac:dyDescent="0.45"/>
  <cols>
    <col min="1" max="1" width="18.59765625" customWidth="1"/>
    <col min="2" max="2" width="11.59765625" customWidth="1"/>
    <col min="3" max="3" width="10.59765625" customWidth="1"/>
    <col min="4" max="4" width="8.59765625" customWidth="1"/>
    <col min="5" max="5" width="50.59765625" customWidth="1"/>
    <col min="6" max="6" width="52.59765625" customWidth="1"/>
    <col min="7" max="7" width="50.59765625" customWidth="1"/>
  </cols>
  <sheetData>
    <row r="1" spans="1:7" ht="85.5" x14ac:dyDescent="0.45">
      <c r="A1" s="1" t="s">
        <v>0</v>
      </c>
      <c r="B1" s="1" t="s">
        <v>1</v>
      </c>
      <c r="C1" s="1" t="s">
        <v>2</v>
      </c>
      <c r="D1" s="1" t="s">
        <v>3</v>
      </c>
      <c r="E1" s="1" t="s">
        <v>4</v>
      </c>
      <c r="F1" s="1" t="s">
        <v>5</v>
      </c>
      <c r="G1" s="1" t="s">
        <v>6</v>
      </c>
    </row>
    <row r="2" spans="1:7" x14ac:dyDescent="0.45">
      <c r="A2" s="2" t="s">
        <v>7</v>
      </c>
      <c r="B2" s="3">
        <f>1</f>
        <v>1</v>
      </c>
      <c r="C2" s="3">
        <f>1</f>
        <v>1</v>
      </c>
      <c r="D2" s="3">
        <f>0</f>
        <v>0</v>
      </c>
      <c r="E2" s="4"/>
      <c r="F2" s="4" t="s">
        <v>88</v>
      </c>
      <c r="G2" s="4" t="s">
        <v>8</v>
      </c>
    </row>
    <row r="3" spans="1:7" ht="28.5" x14ac:dyDescent="0.45">
      <c r="A3" s="2" t="s">
        <v>9</v>
      </c>
      <c r="B3" s="3">
        <f>2</f>
        <v>2</v>
      </c>
      <c r="C3" s="3">
        <f>2</f>
        <v>2</v>
      </c>
      <c r="D3" s="3">
        <f>0</f>
        <v>0</v>
      </c>
      <c r="E3" s="4"/>
      <c r="F3" s="4" t="s">
        <v>10</v>
      </c>
      <c r="G3" s="4" t="s">
        <v>11</v>
      </c>
    </row>
    <row r="4" spans="1:7" x14ac:dyDescent="0.45">
      <c r="A4" s="2" t="s">
        <v>12</v>
      </c>
      <c r="B4" s="3">
        <f>3</f>
        <v>3</v>
      </c>
      <c r="C4" s="3">
        <f>3</f>
        <v>3</v>
      </c>
      <c r="D4" s="3">
        <f>0</f>
        <v>0</v>
      </c>
      <c r="E4" s="4" t="s">
        <v>85</v>
      </c>
      <c r="F4" s="4"/>
      <c r="G4" s="4" t="s">
        <v>13</v>
      </c>
    </row>
    <row r="5" spans="1:7" ht="28.5" x14ac:dyDescent="0.45">
      <c r="A5" s="2" t="s">
        <v>14</v>
      </c>
      <c r="B5" s="3">
        <f>4</f>
        <v>4</v>
      </c>
      <c r="C5" s="3">
        <f>4</f>
        <v>4</v>
      </c>
      <c r="D5" s="3">
        <f>0</f>
        <v>0</v>
      </c>
      <c r="E5" s="4"/>
      <c r="F5" s="4" t="s">
        <v>89</v>
      </c>
      <c r="G5" s="4" t="s">
        <v>15</v>
      </c>
    </row>
    <row r="6" spans="1:7" ht="42.75" x14ac:dyDescent="0.45">
      <c r="A6" s="2" t="s">
        <v>16</v>
      </c>
      <c r="B6" s="3">
        <f>5</f>
        <v>5</v>
      </c>
      <c r="C6" s="3">
        <f>5</f>
        <v>5</v>
      </c>
      <c r="D6" s="3">
        <f>0</f>
        <v>0</v>
      </c>
      <c r="E6" s="4" t="s">
        <v>90</v>
      </c>
      <c r="F6" s="4"/>
      <c r="G6" s="4" t="s">
        <v>11</v>
      </c>
    </row>
    <row r="7" spans="1:7" x14ac:dyDescent="0.45">
      <c r="A7" s="2" t="s">
        <v>17</v>
      </c>
      <c r="B7" s="3">
        <f>6</f>
        <v>6</v>
      </c>
      <c r="C7" s="3">
        <f>6</f>
        <v>6</v>
      </c>
      <c r="D7" s="3">
        <f>0</f>
        <v>0</v>
      </c>
      <c r="E7" s="4"/>
      <c r="F7" s="4"/>
      <c r="G7" s="4" t="s">
        <v>11</v>
      </c>
    </row>
    <row r="8" spans="1:7" x14ac:dyDescent="0.45">
      <c r="A8" s="2" t="s">
        <v>18</v>
      </c>
      <c r="B8" s="3">
        <f>7</f>
        <v>7</v>
      </c>
      <c r="C8" s="3">
        <f>7</f>
        <v>7</v>
      </c>
      <c r="D8" s="3">
        <f>0</f>
        <v>0</v>
      </c>
      <c r="E8" s="4"/>
      <c r="F8" s="4"/>
      <c r="G8" s="4" t="s">
        <v>19</v>
      </c>
    </row>
    <row r="9" spans="1:7" ht="28.5" x14ac:dyDescent="0.45">
      <c r="A9" s="2" t="s">
        <v>20</v>
      </c>
      <c r="B9" s="3">
        <f>10</f>
        <v>10</v>
      </c>
      <c r="C9" s="3">
        <f>8</f>
        <v>8</v>
      </c>
      <c r="D9" s="3">
        <f>2</f>
        <v>2</v>
      </c>
      <c r="E9" s="4" t="s">
        <v>91</v>
      </c>
      <c r="F9" s="4"/>
      <c r="G9" s="4"/>
    </row>
    <row r="10" spans="1:7" ht="28.5" x14ac:dyDescent="0.45">
      <c r="A10" s="2" t="s">
        <v>21</v>
      </c>
      <c r="B10" s="3">
        <f>8</f>
        <v>8</v>
      </c>
      <c r="C10" s="3">
        <f>9</f>
        <v>9</v>
      </c>
      <c r="D10" s="3">
        <f>-1</f>
        <v>-1</v>
      </c>
      <c r="E10" s="4" t="s">
        <v>86</v>
      </c>
      <c r="F10" s="4"/>
      <c r="G10" s="4" t="s">
        <v>22</v>
      </c>
    </row>
    <row r="11" spans="1:7" ht="28.5" x14ac:dyDescent="0.45">
      <c r="A11" s="2" t="s">
        <v>23</v>
      </c>
      <c r="B11" s="3">
        <f>12</f>
        <v>12</v>
      </c>
      <c r="C11" s="3">
        <f>10</f>
        <v>10</v>
      </c>
      <c r="D11" s="3">
        <f>2</f>
        <v>2</v>
      </c>
      <c r="E11" s="4"/>
      <c r="F11" s="4"/>
      <c r="G11" s="4" t="s">
        <v>24</v>
      </c>
    </row>
    <row r="12" spans="1:7" x14ac:dyDescent="0.45">
      <c r="A12" s="2" t="s">
        <v>25</v>
      </c>
      <c r="B12" s="3">
        <f>11</f>
        <v>11</v>
      </c>
      <c r="C12" s="3">
        <f>11</f>
        <v>11</v>
      </c>
      <c r="D12" s="3">
        <f>0</f>
        <v>0</v>
      </c>
      <c r="E12" s="4"/>
      <c r="F12" s="4"/>
      <c r="G12" s="4" t="s">
        <v>26</v>
      </c>
    </row>
    <row r="13" spans="1:7" ht="28.5" x14ac:dyDescent="0.45">
      <c r="A13" s="2" t="s">
        <v>27</v>
      </c>
      <c r="B13" s="3">
        <f>9</f>
        <v>9</v>
      </c>
      <c r="C13" s="3">
        <f>12</f>
        <v>12</v>
      </c>
      <c r="D13" s="3">
        <f>-3</f>
        <v>-3</v>
      </c>
      <c r="E13" s="4"/>
      <c r="F13" s="4" t="s">
        <v>92</v>
      </c>
      <c r="G13" s="4" t="s">
        <v>28</v>
      </c>
    </row>
    <row r="14" spans="1:7" x14ac:dyDescent="0.45">
      <c r="A14" s="2" t="s">
        <v>29</v>
      </c>
      <c r="B14" s="3">
        <f>17</f>
        <v>17</v>
      </c>
      <c r="C14" s="3">
        <f>13</f>
        <v>13</v>
      </c>
      <c r="D14" s="3">
        <f>4</f>
        <v>4</v>
      </c>
      <c r="E14" s="4"/>
      <c r="F14" s="4"/>
      <c r="G14" s="4" t="s">
        <v>30</v>
      </c>
    </row>
    <row r="15" spans="1:7" ht="28.5" x14ac:dyDescent="0.45">
      <c r="A15" s="2" t="s">
        <v>31</v>
      </c>
      <c r="B15" s="3">
        <f>14</f>
        <v>14</v>
      </c>
      <c r="C15" s="3">
        <f>14</f>
        <v>14</v>
      </c>
      <c r="D15" s="3">
        <f>0</f>
        <v>0</v>
      </c>
      <c r="E15" s="4" t="s">
        <v>32</v>
      </c>
      <c r="F15" s="4" t="s">
        <v>33</v>
      </c>
      <c r="G15" s="4" t="s">
        <v>34</v>
      </c>
    </row>
    <row r="16" spans="1:7" x14ac:dyDescent="0.45">
      <c r="A16" s="2" t="s">
        <v>35</v>
      </c>
      <c r="B16" s="3">
        <f>13</f>
        <v>13</v>
      </c>
      <c r="C16" s="3">
        <f>15</f>
        <v>15</v>
      </c>
      <c r="D16" s="3">
        <f>-2</f>
        <v>-2</v>
      </c>
      <c r="E16" s="4" t="s">
        <v>36</v>
      </c>
      <c r="F16" s="4" t="s">
        <v>37</v>
      </c>
      <c r="G16" s="4" t="s">
        <v>93</v>
      </c>
    </row>
    <row r="17" spans="1:7" x14ac:dyDescent="0.45">
      <c r="A17" s="2" t="s">
        <v>38</v>
      </c>
      <c r="B17" s="3">
        <f>16</f>
        <v>16</v>
      </c>
      <c r="C17" s="3">
        <f>16</f>
        <v>16</v>
      </c>
      <c r="D17" s="3">
        <f>0</f>
        <v>0</v>
      </c>
      <c r="E17" s="4" t="s">
        <v>36</v>
      </c>
      <c r="F17" s="4"/>
      <c r="G17" s="4"/>
    </row>
    <row r="18" spans="1:7" ht="42.75" x14ac:dyDescent="0.45">
      <c r="A18" s="2" t="s">
        <v>39</v>
      </c>
      <c r="B18" s="3">
        <f>15</f>
        <v>15</v>
      </c>
      <c r="C18" s="3">
        <f>17</f>
        <v>17</v>
      </c>
      <c r="D18" s="3">
        <f>-2</f>
        <v>-2</v>
      </c>
      <c r="E18" s="4" t="s">
        <v>94</v>
      </c>
      <c r="F18" s="4"/>
      <c r="G18" s="4"/>
    </row>
    <row r="19" spans="1:7" ht="28.5" x14ac:dyDescent="0.45">
      <c r="A19" s="2" t="s">
        <v>40</v>
      </c>
      <c r="B19" s="3">
        <f>19</f>
        <v>19</v>
      </c>
      <c r="C19" s="3">
        <f>18</f>
        <v>18</v>
      </c>
      <c r="D19" s="3">
        <f>1</f>
        <v>1</v>
      </c>
      <c r="E19" s="4"/>
      <c r="F19" s="4" t="s">
        <v>95</v>
      </c>
      <c r="G19" s="4"/>
    </row>
    <row r="20" spans="1:7" x14ac:dyDescent="0.45">
      <c r="A20" s="2" t="s">
        <v>41</v>
      </c>
      <c r="B20" s="3">
        <f>20</f>
        <v>20</v>
      </c>
      <c r="C20" s="3">
        <f>19</f>
        <v>19</v>
      </c>
      <c r="D20" s="3">
        <f>1</f>
        <v>1</v>
      </c>
      <c r="E20" s="4"/>
      <c r="F20" s="4"/>
      <c r="G20" s="4"/>
    </row>
    <row r="21" spans="1:7" x14ac:dyDescent="0.45">
      <c r="A21" s="2" t="s">
        <v>42</v>
      </c>
      <c r="B21" s="3">
        <f>21</f>
        <v>21</v>
      </c>
      <c r="C21" s="3">
        <f>20</f>
        <v>20</v>
      </c>
      <c r="D21" s="3">
        <f>1</f>
        <v>1</v>
      </c>
      <c r="E21" s="4"/>
      <c r="F21" s="4"/>
      <c r="G21" s="4"/>
    </row>
    <row r="22" spans="1:7" x14ac:dyDescent="0.45">
      <c r="A22" s="2" t="s">
        <v>43</v>
      </c>
      <c r="B22" s="3">
        <f>18</f>
        <v>18</v>
      </c>
      <c r="C22" s="3">
        <f>21</f>
        <v>21</v>
      </c>
      <c r="D22" s="3">
        <f>-3</f>
        <v>-3</v>
      </c>
      <c r="E22" s="4"/>
      <c r="F22" s="4" t="s">
        <v>44</v>
      </c>
      <c r="G22" s="4" t="s">
        <v>26</v>
      </c>
    </row>
    <row r="23" spans="1:7" ht="42.75" x14ac:dyDescent="0.45">
      <c r="A23" s="2" t="s">
        <v>45</v>
      </c>
      <c r="B23" s="3">
        <f>24</f>
        <v>24</v>
      </c>
      <c r="C23" s="3">
        <f>22</f>
        <v>22</v>
      </c>
      <c r="D23" s="3">
        <f>2</f>
        <v>2</v>
      </c>
      <c r="E23" s="4" t="s">
        <v>96</v>
      </c>
      <c r="F23" s="4"/>
      <c r="G23" s="4" t="s">
        <v>46</v>
      </c>
    </row>
    <row r="24" spans="1:7" ht="28.5" x14ac:dyDescent="0.45">
      <c r="A24" s="2" t="s">
        <v>47</v>
      </c>
      <c r="B24" s="3">
        <f>26</f>
        <v>26</v>
      </c>
      <c r="C24" s="3">
        <f>23</f>
        <v>23</v>
      </c>
      <c r="D24" s="3">
        <f>3</f>
        <v>3</v>
      </c>
      <c r="E24" s="4" t="s">
        <v>97</v>
      </c>
      <c r="F24" s="4" t="s">
        <v>48</v>
      </c>
      <c r="G24" s="4"/>
    </row>
    <row r="25" spans="1:7" ht="28.5" x14ac:dyDescent="0.45">
      <c r="A25" s="2" t="s">
        <v>49</v>
      </c>
      <c r="B25" s="3">
        <f>23</f>
        <v>23</v>
      </c>
      <c r="C25" s="3">
        <f>24</f>
        <v>24</v>
      </c>
      <c r="D25" s="3">
        <f>-1</f>
        <v>-1</v>
      </c>
      <c r="E25" s="4"/>
      <c r="F25" s="4" t="s">
        <v>50</v>
      </c>
      <c r="G25" s="4" t="s">
        <v>51</v>
      </c>
    </row>
    <row r="26" spans="1:7" ht="42.75" x14ac:dyDescent="0.45">
      <c r="A26" s="2" t="s">
        <v>52</v>
      </c>
      <c r="B26" s="3">
        <f>28</f>
        <v>28</v>
      </c>
      <c r="C26" s="3">
        <f>25</f>
        <v>25</v>
      </c>
      <c r="D26" s="3">
        <f>3</f>
        <v>3</v>
      </c>
      <c r="E26" s="4"/>
      <c r="F26" s="4" t="s">
        <v>53</v>
      </c>
      <c r="G26" s="4" t="s">
        <v>54</v>
      </c>
    </row>
    <row r="27" spans="1:7" ht="28.5" x14ac:dyDescent="0.45">
      <c r="A27" s="2" t="s">
        <v>55</v>
      </c>
      <c r="B27" s="3">
        <f>22</f>
        <v>22</v>
      </c>
      <c r="C27" s="3">
        <f>26</f>
        <v>26</v>
      </c>
      <c r="D27" s="3">
        <f>-4</f>
        <v>-4</v>
      </c>
      <c r="E27" s="4" t="s">
        <v>98</v>
      </c>
      <c r="F27" s="4" t="s">
        <v>99</v>
      </c>
      <c r="G27" s="4"/>
    </row>
    <row r="28" spans="1:7" x14ac:dyDescent="0.45">
      <c r="A28" s="2" t="s">
        <v>56</v>
      </c>
      <c r="B28" s="3">
        <f>25</f>
        <v>25</v>
      </c>
      <c r="C28" s="3">
        <f>27</f>
        <v>27</v>
      </c>
      <c r="D28" s="3">
        <f>-2</f>
        <v>-2</v>
      </c>
      <c r="E28" s="4"/>
      <c r="F28" s="4"/>
      <c r="G28" s="4" t="s">
        <v>57</v>
      </c>
    </row>
    <row r="29" spans="1:7" ht="28.5" x14ac:dyDescent="0.45">
      <c r="A29" s="2" t="s">
        <v>58</v>
      </c>
      <c r="B29" s="3">
        <f>35</f>
        <v>35</v>
      </c>
      <c r="C29" s="3">
        <f>28</f>
        <v>28</v>
      </c>
      <c r="D29" s="3">
        <f>7</f>
        <v>7</v>
      </c>
      <c r="E29" s="4" t="s">
        <v>59</v>
      </c>
      <c r="F29" s="4" t="s">
        <v>100</v>
      </c>
      <c r="G29" s="4" t="s">
        <v>60</v>
      </c>
    </row>
    <row r="30" spans="1:7" x14ac:dyDescent="0.45">
      <c r="A30" s="2" t="s">
        <v>61</v>
      </c>
      <c r="B30" s="3">
        <f>29</f>
        <v>29</v>
      </c>
      <c r="C30" s="3">
        <f>29</f>
        <v>29</v>
      </c>
      <c r="D30" s="3">
        <f>0</f>
        <v>0</v>
      </c>
      <c r="E30" s="4"/>
      <c r="F30" s="4"/>
      <c r="G30" s="4" t="s">
        <v>62</v>
      </c>
    </row>
    <row r="31" spans="1:7" ht="28.5" x14ac:dyDescent="0.45">
      <c r="A31" s="2" t="s">
        <v>63</v>
      </c>
      <c r="B31" s="3">
        <f>27</f>
        <v>27</v>
      </c>
      <c r="C31" s="3">
        <f>30</f>
        <v>30</v>
      </c>
      <c r="D31" s="3">
        <f>-3</f>
        <v>-3</v>
      </c>
      <c r="E31" s="4" t="s">
        <v>101</v>
      </c>
      <c r="F31" s="4"/>
      <c r="G31" s="4" t="s">
        <v>26</v>
      </c>
    </row>
    <row r="32" spans="1:7" x14ac:dyDescent="0.45">
      <c r="A32" s="2" t="s">
        <v>64</v>
      </c>
      <c r="B32" s="3">
        <f>30</f>
        <v>30</v>
      </c>
      <c r="C32" s="3">
        <f>31</f>
        <v>31</v>
      </c>
      <c r="D32" s="3">
        <f>-1</f>
        <v>-1</v>
      </c>
      <c r="E32" s="4" t="s">
        <v>65</v>
      </c>
      <c r="F32" s="4"/>
      <c r="G32" s="4" t="s">
        <v>44</v>
      </c>
    </row>
    <row r="33" spans="1:7" x14ac:dyDescent="0.45">
      <c r="A33" s="2" t="s">
        <v>66</v>
      </c>
      <c r="B33" s="3">
        <f>31</f>
        <v>31</v>
      </c>
      <c r="C33" s="3">
        <f>32</f>
        <v>32</v>
      </c>
      <c r="D33" s="3">
        <f>-1</f>
        <v>-1</v>
      </c>
      <c r="E33" s="4"/>
      <c r="F33" s="4"/>
      <c r="G33" s="4" t="s">
        <v>8</v>
      </c>
    </row>
    <row r="34" spans="1:7" x14ac:dyDescent="0.45">
      <c r="A34" s="2" t="s">
        <v>67</v>
      </c>
      <c r="B34" s="3">
        <f>33</f>
        <v>33</v>
      </c>
      <c r="C34" s="3">
        <f>33</f>
        <v>33</v>
      </c>
      <c r="D34" s="3">
        <f>0</f>
        <v>0</v>
      </c>
      <c r="E34" s="4" t="s">
        <v>68</v>
      </c>
      <c r="F34" s="4"/>
      <c r="G34" s="4"/>
    </row>
    <row r="35" spans="1:7" x14ac:dyDescent="0.45">
      <c r="A35" s="2" t="s">
        <v>69</v>
      </c>
      <c r="B35" s="3">
        <f>32</f>
        <v>32</v>
      </c>
      <c r="C35" s="3">
        <f>34</f>
        <v>34</v>
      </c>
      <c r="D35" s="3">
        <f>-2</f>
        <v>-2</v>
      </c>
      <c r="E35" s="4"/>
      <c r="F35" s="4" t="s">
        <v>70</v>
      </c>
      <c r="G35" s="4" t="s">
        <v>71</v>
      </c>
    </row>
    <row r="36" spans="1:7" x14ac:dyDescent="0.45">
      <c r="A36" s="2" t="s">
        <v>72</v>
      </c>
      <c r="B36" s="3">
        <f>34</f>
        <v>34</v>
      </c>
      <c r="C36" s="3">
        <f>35</f>
        <v>35</v>
      </c>
      <c r="D36" s="3">
        <f>-1</f>
        <v>-1</v>
      </c>
      <c r="E36" s="4"/>
      <c r="F36" s="4" t="s">
        <v>73</v>
      </c>
      <c r="G36" s="4"/>
    </row>
    <row r="37" spans="1:7" ht="28.5" x14ac:dyDescent="0.45">
      <c r="A37" s="2" t="s">
        <v>74</v>
      </c>
      <c r="B37" s="3">
        <f>37</f>
        <v>37</v>
      </c>
      <c r="C37" s="3">
        <f>36</f>
        <v>36</v>
      </c>
      <c r="D37" s="3">
        <f>1</f>
        <v>1</v>
      </c>
      <c r="E37" s="4"/>
      <c r="F37" s="4"/>
      <c r="G37" s="4" t="s">
        <v>75</v>
      </c>
    </row>
    <row r="38" spans="1:7" ht="28.5" x14ac:dyDescent="0.45">
      <c r="A38" s="2" t="s">
        <v>76</v>
      </c>
      <c r="B38" s="3">
        <f>36</f>
        <v>36</v>
      </c>
      <c r="C38" s="3">
        <f>37</f>
        <v>37</v>
      </c>
      <c r="D38" s="3">
        <f>-1</f>
        <v>-1</v>
      </c>
      <c r="E38" s="4"/>
      <c r="F38" s="4" t="s">
        <v>87</v>
      </c>
      <c r="G38" s="4" t="s">
        <v>77</v>
      </c>
    </row>
    <row r="39" spans="1:7" x14ac:dyDescent="0.45">
      <c r="A39" s="2" t="s">
        <v>78</v>
      </c>
      <c r="B39" s="3">
        <f>38</f>
        <v>38</v>
      </c>
      <c r="C39" s="3">
        <f>38</f>
        <v>38</v>
      </c>
      <c r="D39" s="3">
        <f>0</f>
        <v>0</v>
      </c>
      <c r="E39" s="4" t="s">
        <v>79</v>
      </c>
      <c r="F39" s="4" t="s">
        <v>80</v>
      </c>
      <c r="G39" s="4" t="s">
        <v>81</v>
      </c>
    </row>
    <row r="41" spans="1:7" s="5" customFormat="1" x14ac:dyDescent="0.45">
      <c r="A41" s="5" t="s">
        <v>82</v>
      </c>
    </row>
    <row r="42" spans="1:7" s="5" customFormat="1" x14ac:dyDescent="0.45">
      <c r="A42" s="5" t="s">
        <v>83</v>
      </c>
    </row>
    <row r="43" spans="1:7" s="5" customFormat="1" x14ac:dyDescent="0.45">
      <c r="A43" s="5" t="s">
        <v>84</v>
      </c>
    </row>
  </sheetData>
  <autoFilter ref="A1:G1" xr:uid="{8D84FA70-2011-4618-99FB-E7460CA9A0B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 changes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Mengden</dc:creator>
  <cp:lastModifiedBy>Alexander Mengden</cp:lastModifiedBy>
  <dcterms:created xsi:type="dcterms:W3CDTF">2026-08-24T15:38:05Z</dcterms:created>
  <dcterms:modified xsi:type="dcterms:W3CDTF">2026-08-24T15:50:50Z</dcterms:modified>
</cp:coreProperties>
</file>
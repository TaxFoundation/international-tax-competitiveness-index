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international-tax-competitiveness-index\final_outputs\"/>
    </mc:Choice>
  </mc:AlternateContent>
  <xr:revisionPtr revIDLastSave="0" documentId="8_{BF63DDFF-33A5-4048-B5A2-12BFA842C1B0}" xr6:coauthVersionLast="47" xr6:coauthVersionMax="47" xr10:uidLastSave="{00000000-0000-0000-0000-000000000000}"/>
  <bookViews>
    <workbookView xWindow="-98" yWindow="-98" windowWidth="21795" windowHeight="13875" xr2:uid="{789578D4-DC63-490E-BC13-CED8D82346B8}"/>
  </bookViews>
  <sheets>
    <sheet name="Rank changes 2026" sheetId="1" r:id="rId1"/>
  </sheets>
  <definedNames>
    <definedName name="_xlnm._FilterDatabase" localSheetId="0" hidden="1">'Rank changes 2026'!$A$1:$G$1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9" i="1" l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sharedStrings.xml><?xml version="1.0" encoding="utf-8"?>
<sst xmlns="http://schemas.openxmlformats.org/spreadsheetml/2006/main" count="115" uniqueCount="108">
  <si>
    <t>Country</t>
  </si>
  <si>
    <t>Rank 2025 edition</t>
  </si>
  <si>
    <t>Rank 2026</t>
  </si>
  <si>
    <t>Change</t>
  </si>
  <si>
    <t>Policy change 2025 to 2026</t>
  </si>
  <si>
    <t>Revision to 2025 value since publication</t>
  </si>
  <si>
    <t>Methodology change</t>
  </si>
  <si>
    <t>Estonia</t>
  </si>
  <si>
    <t>Corporate alt. minimum 1 -&gt; 0; top PIT rate 20% -&gt; 22%</t>
  </si>
  <si>
    <t>CFC active 0 -&gt; 0.5 (ATAD Model B)</t>
  </si>
  <si>
    <t>Latvia</t>
  </si>
  <si>
    <t>Top PIT rate corrected to 36%; threshold 9.9x -&gt; 12.1x average income (OECD reported zero)</t>
  </si>
  <si>
    <t>CFC active 0 -&gt; 0.5</t>
  </si>
  <si>
    <t>New Zealand</t>
  </si>
  <si>
    <t>Corporate alt. minimum 0 -&gt; 1</t>
  </si>
  <si>
    <t>Dividend WHT 30% -&gt; 0 (imputation netted out)</t>
  </si>
  <si>
    <t>Switzerland</t>
  </si>
  <si>
    <t>Digital services tax 1 -&gt; 0</t>
  </si>
  <si>
    <t>Revenue measures now shares of tax revenue, not GDP (was 2nd highest)</t>
  </si>
  <si>
    <t>Lithuania</t>
  </si>
  <si>
    <t>Corporate rate 16% -&gt; 17%; dividend WHT 16% -&gt; 17%; machinery and intangibles cost recovery to 100%; R&amp;D credit up</t>
  </si>
  <si>
    <t>Luxembourg</t>
  </si>
  <si>
    <t>Australia</t>
  </si>
  <si>
    <t>Dividend WHT 30% -&gt; 0 (franking netted out)</t>
  </si>
  <si>
    <t>Czech Republic</t>
  </si>
  <si>
    <t>Capital gains rate 23% -&gt; 0</t>
  </si>
  <si>
    <t>Israel</t>
  </si>
  <si>
    <t>Both participation exemptions 1 -&gt; 0.5 (Section 67A holding regime only)</t>
  </si>
  <si>
    <t>Turkey</t>
  </si>
  <si>
    <t>CFC exemptions -&gt; 0 (rate test); capital gains exemption 1 -&gt; 0.5 (holding regime only)</t>
  </si>
  <si>
    <t>Sweden</t>
  </si>
  <si>
    <t>Revenue-share denominators</t>
  </si>
  <si>
    <t>Hungary</t>
  </si>
  <si>
    <t>Turnover tax revenue 45% -&gt; 51%</t>
  </si>
  <si>
    <t>Corporate alt. minimum 1 -&gt; 2; digital services tax 1 -&gt; 0; R&amp;D credit up</t>
  </si>
  <si>
    <t>New turnover tax variable (highest value in the Index); CFC active 0 -&gt; 0.5</t>
  </si>
  <si>
    <t>Costa Rica</t>
  </si>
  <si>
    <t>Revenue-share denominators (was 1.21% of GDP)</t>
  </si>
  <si>
    <t>Slovak Republic</t>
  </si>
  <si>
    <t>Top PIT rate 35.1% -&gt; 44.4%; threshold 2.9x -&gt; 3.5x; R&amp;D credit up</t>
  </si>
  <si>
    <t>Corporate alt. minimum 3 -&gt; 4; VAT threshold EUR 122k -&gt; 98k</t>
  </si>
  <si>
    <t>Dividend WHT 35% -&gt; 19% (35% is the non-cooperative-jurisdiction rate)</t>
  </si>
  <si>
    <t>Canada</t>
  </si>
  <si>
    <t>R&amp;D credit up; digital services tax revenue enters</t>
  </si>
  <si>
    <t>Intangibles cost recovery 52% -&gt; 100%; machinery to 100%</t>
  </si>
  <si>
    <t>Thin capitalisation 0.5 -&gt; 1 (EIFEL); DST flagged 2022-24</t>
  </si>
  <si>
    <t>Netherlands</t>
  </si>
  <si>
    <t>R&amp;D credit up</t>
  </si>
  <si>
    <t>United States</t>
  </si>
  <si>
    <t>CFC rules 0.33 -&gt; 0.67 (NCTI reaches active income); patent box 1 -&gt; 0; R&amp;D credit sharply up</t>
  </si>
  <si>
    <t>Austria</t>
  </si>
  <si>
    <t>Buildings cost recovery 34% -&gt; 86%</t>
  </si>
  <si>
    <t>CFC exemptions -&gt; 0 (rate test)</t>
  </si>
  <si>
    <t>Germany</t>
  </si>
  <si>
    <t>Norway</t>
  </si>
  <si>
    <t>Mexico</t>
  </si>
  <si>
    <t>CFC exemptions -&gt; 0 (rate test); revenue-share denominators</t>
  </si>
  <si>
    <t>Finland</t>
  </si>
  <si>
    <t>Top PIT rate 56.9% -&gt; 50.4%; machinery cost recovery 93% -&gt; 83%</t>
  </si>
  <si>
    <t>CFC exemptions corrected to 0</t>
  </si>
  <si>
    <t>Korea</t>
  </si>
  <si>
    <t>Corporate rate 26.4% -&gt; 27.5%; corporate alt. minimum 4 -&gt; 5</t>
  </si>
  <si>
    <t>Intangibles cost recovery 74% -&gt; 81%; R&amp;D credit up</t>
  </si>
  <si>
    <t>Greece</t>
  </si>
  <si>
    <t>Patent box 0 -&gt; 1; financial transaction tax 0 -&gt; 1; country limitations 1 -&gt; 0</t>
  </si>
  <si>
    <t>New turnover tax variable</t>
  </si>
  <si>
    <t>Chile</t>
  </si>
  <si>
    <t>Labour tax wedge up</t>
  </si>
  <si>
    <t>Corporate alt. minimum 0 -&gt; 1; machinery and buildings cost recovery up</t>
  </si>
  <si>
    <t>Dividend WHT 35% -&gt; 17.45% (integration); CFC exemptions -&gt; 0 and active -&gt; 0</t>
  </si>
  <si>
    <t>Japan</t>
  </si>
  <si>
    <t>Minimum tax 0.5 -&gt; 1 (UTPR); corporate alt. minimum 8 -&gt; 9</t>
  </si>
  <si>
    <t>Corporate alt. minimum 1 -&gt; 8 (revised from source notes)</t>
  </si>
  <si>
    <t>Slovenia</t>
  </si>
  <si>
    <t>Thin capitalisation 0.5 -&gt; 1 (30% EBITDA rule)</t>
  </si>
  <si>
    <t>Poland</t>
  </si>
  <si>
    <t>VAT threshold up about 20%</t>
  </si>
  <si>
    <t>Top PIT rate 36% -&gt; 45.4%; threshold 12.3x -&gt; 1.3x average income</t>
  </si>
  <si>
    <t>Capital gains exemption 0 -&gt; 1 (PSH regime; full score, no asset or activity test)</t>
  </si>
  <si>
    <t>Iceland</t>
  </si>
  <si>
    <t>VAT base broadened</t>
  </si>
  <si>
    <t>Revenue-share denominators (was 1.58% of GDP)</t>
  </si>
  <si>
    <t>Denmark</t>
  </si>
  <si>
    <t>Top PIT rate 55.9% -&gt; 60.5%; threshold 1.2x -&gt; 5.4x (new top bracket)</t>
  </si>
  <si>
    <t>Belgium</t>
  </si>
  <si>
    <t>New 10% capital gains tax</t>
  </si>
  <si>
    <t>Ireland</t>
  </si>
  <si>
    <t>Portugal</t>
  </si>
  <si>
    <t>Corporate rate 30.5% -&gt; 29.5%</t>
  </si>
  <si>
    <t>United Kingdom</t>
  </si>
  <si>
    <t>Labour tax wedge down</t>
  </si>
  <si>
    <t>R&amp;D credit 18.75% -&gt; 18%</t>
  </si>
  <si>
    <t>Property tax collections remain the binding constraint</t>
  </si>
  <si>
    <t>Spain</t>
  </si>
  <si>
    <t>Labour tax wedge down sharply</t>
  </si>
  <si>
    <t>Corporate alt. minimum 3 -&gt; 6; top PIT rate 45% -&gt; 48.6%</t>
  </si>
  <si>
    <t>Italy</t>
  </si>
  <si>
    <t>Revenue-share denominators (highest unallocable share, 43.5%)</t>
  </si>
  <si>
    <t>Colombia</t>
  </si>
  <si>
    <t>Minimum tax 0 -&gt; 0.5</t>
  </si>
  <si>
    <t>Both participation exemptions 0 -&gt; 0.5 (CHC regime)</t>
  </si>
  <si>
    <t>France</t>
  </si>
  <si>
    <t>Capital gains rate 34% -&gt; 35.4%</t>
  </si>
  <si>
    <t>VAT threshold EUR 132k -&gt; 122k</t>
  </si>
  <si>
    <t>CFC active 1 -&gt; 0.5 (substantial-activity escape)</t>
  </si>
  <si>
    <t>Change is positive where a country improved. Column E covers changes between the two Index years; column F covers revisions to the 2025 value made since the 2025 edition was published; column G covers changes in how a variable is scored.</t>
  </si>
  <si>
    <t>Applying to all countries: the two unallocable-revenue complexity measures are now expressed as shares of tax revenue rather than of GDP, and the Index now uses 43 variables rather than 42.</t>
  </si>
  <si>
    <t>Excluded: annual drift in VAT thresholds and bases, property tax collections and revenue ratios, which move with the underlying economics rather than statute; and revisions confined to years before 2025.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</si>
</sst>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2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A06A-0FD8-4003-9416-5C914802409A}">
  <dimension ref="A1:G43"/>
  <sheetViews>
    <sheetView tabSelected="1" workbookViewId="0">
      <pane ySplit="1" topLeftCell="A2" activePane="bottomLeft" state="frozenSplit"/>
      <selection pane="bottomLeft"/>
    </sheetView>
  </sheetViews>
  <sheetFormatPr defaultRowHeight="14.25" x14ac:dyDescent="0.45"/>
  <cols>
    <col min="1" max="1" width="18.59765625" customWidth="1"/>
    <col min="2" max="2" width="11.59765625" customWidth="1"/>
    <col min="3" max="3" width="10.59765625" customWidth="1"/>
    <col min="4" max="4" width="8.59765625" customWidth="1"/>
    <col min="5" max="5" width="52.59765625" customWidth="1"/>
    <col min="6" max="6" width="46.59765625" customWidth="1"/>
    <col min="7" max="7" width="52.59765625" customWidth="1"/>
  </cols>
  <sheetData>
    <row r="1" spans="1:7" ht="85.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45">
      <c r="A2" s="2" t="s">
        <v>7</v>
      </c>
      <c r="B2" s="3">
        <f>1</f>
        <v>1</v>
      </c>
      <c r="C2" s="3">
        <f>1</f>
        <v>1</v>
      </c>
      <c r="D2" s="3">
        <f>0</f>
        <v>0</v>
      </c>
      <c r="E2" s="4"/>
      <c r="F2" s="4" t="s">
        <v>8</v>
      </c>
      <c r="G2" s="4" t="s">
        <v>9</v>
      </c>
    </row>
    <row r="3" spans="1:7" ht="28.5" x14ac:dyDescent="0.45">
      <c r="A3" s="2" t="s">
        <v>10</v>
      </c>
      <c r="B3" s="3">
        <f>2</f>
        <v>2</v>
      </c>
      <c r="C3" s="3">
        <f>2</f>
        <v>2</v>
      </c>
      <c r="D3" s="3">
        <f>0</f>
        <v>0</v>
      </c>
      <c r="E3" s="4"/>
      <c r="F3" s="4" t="s">
        <v>11</v>
      </c>
      <c r="G3" s="4" t="s">
        <v>12</v>
      </c>
    </row>
    <row r="4" spans="1:7" x14ac:dyDescent="0.45">
      <c r="A4" s="2" t="s">
        <v>13</v>
      </c>
      <c r="B4" s="3">
        <f>3</f>
        <v>3</v>
      </c>
      <c r="C4" s="3">
        <f>3</f>
        <v>3</v>
      </c>
      <c r="D4" s="3">
        <f>0</f>
        <v>0</v>
      </c>
      <c r="E4" s="4" t="s">
        <v>14</v>
      </c>
      <c r="F4" s="4"/>
      <c r="G4" s="4" t="s">
        <v>15</v>
      </c>
    </row>
    <row r="5" spans="1:7" ht="28.5" x14ac:dyDescent="0.45">
      <c r="A5" s="2" t="s">
        <v>16</v>
      </c>
      <c r="B5" s="3">
        <f>4</f>
        <v>4</v>
      </c>
      <c r="C5" s="3">
        <f>4</f>
        <v>4</v>
      </c>
      <c r="D5" s="3">
        <f>0</f>
        <v>0</v>
      </c>
      <c r="E5" s="4"/>
      <c r="F5" s="4" t="s">
        <v>17</v>
      </c>
      <c r="G5" s="4" t="s">
        <v>18</v>
      </c>
    </row>
    <row r="6" spans="1:7" ht="28.5" x14ac:dyDescent="0.45">
      <c r="A6" s="2" t="s">
        <v>19</v>
      </c>
      <c r="B6" s="3">
        <f>5</f>
        <v>5</v>
      </c>
      <c r="C6" s="3">
        <f>5</f>
        <v>5</v>
      </c>
      <c r="D6" s="3">
        <f>0</f>
        <v>0</v>
      </c>
      <c r="E6" s="4" t="s">
        <v>20</v>
      </c>
      <c r="F6" s="4"/>
      <c r="G6" s="4" t="s">
        <v>12</v>
      </c>
    </row>
    <row r="7" spans="1:7" x14ac:dyDescent="0.45">
      <c r="A7" s="2" t="s">
        <v>21</v>
      </c>
      <c r="B7" s="3">
        <f>6</f>
        <v>6</v>
      </c>
      <c r="C7" s="3">
        <f>6</f>
        <v>6</v>
      </c>
      <c r="D7" s="3">
        <f>0</f>
        <v>0</v>
      </c>
      <c r="E7" s="4"/>
      <c r="F7" s="4"/>
      <c r="G7" s="4" t="s">
        <v>12</v>
      </c>
    </row>
    <row r="8" spans="1:7" x14ac:dyDescent="0.45">
      <c r="A8" s="2" t="s">
        <v>22</v>
      </c>
      <c r="B8" s="3">
        <f>7</f>
        <v>7</v>
      </c>
      <c r="C8" s="3">
        <f>7</f>
        <v>7</v>
      </c>
      <c r="D8" s="3">
        <f>0</f>
        <v>0</v>
      </c>
      <c r="E8" s="4"/>
      <c r="F8" s="4"/>
      <c r="G8" s="4" t="s">
        <v>23</v>
      </c>
    </row>
    <row r="9" spans="1:7" x14ac:dyDescent="0.45">
      <c r="A9" s="2" t="s">
        <v>24</v>
      </c>
      <c r="B9" s="3">
        <f>10</f>
        <v>10</v>
      </c>
      <c r="C9" s="3">
        <f>8</f>
        <v>8</v>
      </c>
      <c r="D9" s="3">
        <f>2</f>
        <v>2</v>
      </c>
      <c r="E9" s="4" t="s">
        <v>25</v>
      </c>
      <c r="F9" s="4"/>
      <c r="G9" s="4"/>
    </row>
    <row r="10" spans="1:7" ht="28.5" x14ac:dyDescent="0.45">
      <c r="A10" s="2" t="s">
        <v>26</v>
      </c>
      <c r="B10" s="3">
        <f>8</f>
        <v>8</v>
      </c>
      <c r="C10" s="3">
        <f>9</f>
        <v>9</v>
      </c>
      <c r="D10" s="3">
        <f>-1</f>
        <v>-1</v>
      </c>
      <c r="E10" s="4" t="s">
        <v>14</v>
      </c>
      <c r="F10" s="4"/>
      <c r="G10" s="4" t="s">
        <v>27</v>
      </c>
    </row>
    <row r="11" spans="1:7" ht="28.5" x14ac:dyDescent="0.45">
      <c r="A11" s="2" t="s">
        <v>28</v>
      </c>
      <c r="B11" s="3">
        <f>12</f>
        <v>12</v>
      </c>
      <c r="C11" s="3">
        <f>10</f>
        <v>10</v>
      </c>
      <c r="D11" s="3">
        <f>2</f>
        <v>2</v>
      </c>
      <c r="E11" s="4"/>
      <c r="F11" s="4"/>
      <c r="G11" s="4" t="s">
        <v>29</v>
      </c>
    </row>
    <row r="12" spans="1:7" x14ac:dyDescent="0.45">
      <c r="A12" s="2" t="s">
        <v>30</v>
      </c>
      <c r="B12" s="3">
        <f>11</f>
        <v>11</v>
      </c>
      <c r="C12" s="3">
        <f>11</f>
        <v>11</v>
      </c>
      <c r="D12" s="3">
        <f>0</f>
        <v>0</v>
      </c>
      <c r="E12" s="4"/>
      <c r="F12" s="4"/>
      <c r="G12" s="4" t="s">
        <v>31</v>
      </c>
    </row>
    <row r="13" spans="1:7" ht="28.5" x14ac:dyDescent="0.45">
      <c r="A13" s="2" t="s">
        <v>32</v>
      </c>
      <c r="B13" s="3">
        <f>9</f>
        <v>9</v>
      </c>
      <c r="C13" s="3">
        <f>12</f>
        <v>12</v>
      </c>
      <c r="D13" s="3">
        <f>-3</f>
        <v>-3</v>
      </c>
      <c r="E13" s="4" t="s">
        <v>33</v>
      </c>
      <c r="F13" s="4" t="s">
        <v>34</v>
      </c>
      <c r="G13" s="4" t="s">
        <v>35</v>
      </c>
    </row>
    <row r="14" spans="1:7" x14ac:dyDescent="0.45">
      <c r="A14" s="2" t="s">
        <v>36</v>
      </c>
      <c r="B14" s="3">
        <f>17</f>
        <v>17</v>
      </c>
      <c r="C14" s="3">
        <f>13</f>
        <v>13</v>
      </c>
      <c r="D14" s="3">
        <f>4</f>
        <v>4</v>
      </c>
      <c r="E14" s="4"/>
      <c r="F14" s="4"/>
      <c r="G14" s="4" t="s">
        <v>37</v>
      </c>
    </row>
    <row r="15" spans="1:7" ht="28.5" x14ac:dyDescent="0.45">
      <c r="A15" s="2" t="s">
        <v>38</v>
      </c>
      <c r="B15" s="3">
        <f>14</f>
        <v>14</v>
      </c>
      <c r="C15" s="3">
        <f>14</f>
        <v>14</v>
      </c>
      <c r="D15" s="3">
        <f>0</f>
        <v>0</v>
      </c>
      <c r="E15" s="4" t="s">
        <v>39</v>
      </c>
      <c r="F15" s="4" t="s">
        <v>40</v>
      </c>
      <c r="G15" s="4" t="s">
        <v>41</v>
      </c>
    </row>
    <row r="16" spans="1:7" ht="28.5" x14ac:dyDescent="0.45">
      <c r="A16" s="2" t="s">
        <v>42</v>
      </c>
      <c r="B16" s="3">
        <f>13</f>
        <v>13</v>
      </c>
      <c r="C16" s="3">
        <f>15</f>
        <v>15</v>
      </c>
      <c r="D16" s="3">
        <f>-2</f>
        <v>-2</v>
      </c>
      <c r="E16" s="4" t="s">
        <v>43</v>
      </c>
      <c r="F16" s="4" t="s">
        <v>44</v>
      </c>
      <c r="G16" s="4" t="s">
        <v>45</v>
      </c>
    </row>
    <row r="17" spans="1:7" x14ac:dyDescent="0.45">
      <c r="A17" s="2" t="s">
        <v>46</v>
      </c>
      <c r="B17" s="3">
        <f>16</f>
        <v>16</v>
      </c>
      <c r="C17" s="3">
        <f>16</f>
        <v>16</v>
      </c>
      <c r="D17" s="3">
        <f>0</f>
        <v>0</v>
      </c>
      <c r="E17" s="4" t="s">
        <v>47</v>
      </c>
      <c r="F17" s="4"/>
      <c r="G17" s="4"/>
    </row>
    <row r="18" spans="1:7" ht="28.5" x14ac:dyDescent="0.45">
      <c r="A18" s="2" t="s">
        <v>48</v>
      </c>
      <c r="B18" s="3">
        <f>15</f>
        <v>15</v>
      </c>
      <c r="C18" s="3">
        <f>17</f>
        <v>17</v>
      </c>
      <c r="D18" s="3">
        <f>-2</f>
        <v>-2</v>
      </c>
      <c r="E18" s="4" t="s">
        <v>49</v>
      </c>
      <c r="F18" s="4"/>
      <c r="G18" s="4"/>
    </row>
    <row r="19" spans="1:7" x14ac:dyDescent="0.45">
      <c r="A19" s="2" t="s">
        <v>50</v>
      </c>
      <c r="B19" s="3">
        <f>19</f>
        <v>19</v>
      </c>
      <c r="C19" s="3">
        <f>18</f>
        <v>18</v>
      </c>
      <c r="D19" s="3">
        <f>1</f>
        <v>1</v>
      </c>
      <c r="E19" s="4"/>
      <c r="F19" s="4" t="s">
        <v>51</v>
      </c>
      <c r="G19" s="4" t="s">
        <v>52</v>
      </c>
    </row>
    <row r="20" spans="1:7" x14ac:dyDescent="0.45">
      <c r="A20" s="2" t="s">
        <v>53</v>
      </c>
      <c r="B20" s="3">
        <f>20</f>
        <v>20</v>
      </c>
      <c r="C20" s="3">
        <f>19</f>
        <v>19</v>
      </c>
      <c r="D20" s="3">
        <f>1</f>
        <v>1</v>
      </c>
      <c r="E20" s="4"/>
      <c r="F20" s="4"/>
      <c r="G20" s="4"/>
    </row>
    <row r="21" spans="1:7" x14ac:dyDescent="0.45">
      <c r="A21" s="2" t="s">
        <v>54</v>
      </c>
      <c r="B21" s="3">
        <f>21</f>
        <v>21</v>
      </c>
      <c r="C21" s="3">
        <f>20</f>
        <v>20</v>
      </c>
      <c r="D21" s="3">
        <f>1</f>
        <v>1</v>
      </c>
      <c r="E21" s="4"/>
      <c r="F21" s="4"/>
      <c r="G21" s="4"/>
    </row>
    <row r="22" spans="1:7" x14ac:dyDescent="0.45">
      <c r="A22" s="2" t="s">
        <v>55</v>
      </c>
      <c r="B22" s="3">
        <f>18</f>
        <v>18</v>
      </c>
      <c r="C22" s="3">
        <f>21</f>
        <v>21</v>
      </c>
      <c r="D22" s="3">
        <f>-3</f>
        <v>-3</v>
      </c>
      <c r="E22" s="4"/>
      <c r="F22" s="4"/>
      <c r="G22" s="4" t="s">
        <v>56</v>
      </c>
    </row>
    <row r="23" spans="1:7" x14ac:dyDescent="0.45">
      <c r="A23" s="2" t="s">
        <v>57</v>
      </c>
      <c r="B23" s="3">
        <f>24</f>
        <v>24</v>
      </c>
      <c r="C23" s="3">
        <f>22</f>
        <v>22</v>
      </c>
      <c r="D23" s="3">
        <f>2</f>
        <v>2</v>
      </c>
      <c r="E23" s="4" t="s">
        <v>58</v>
      </c>
      <c r="F23" s="4"/>
      <c r="G23" s="4" t="s">
        <v>59</v>
      </c>
    </row>
    <row r="24" spans="1:7" x14ac:dyDescent="0.45">
      <c r="A24" s="2" t="s">
        <v>60</v>
      </c>
      <c r="B24" s="3">
        <f>26</f>
        <v>26</v>
      </c>
      <c r="C24" s="3">
        <f>23</f>
        <v>23</v>
      </c>
      <c r="D24" s="3">
        <f>3</f>
        <v>3</v>
      </c>
      <c r="E24" s="4" t="s">
        <v>61</v>
      </c>
      <c r="F24" s="4" t="s">
        <v>62</v>
      </c>
      <c r="G24" s="4"/>
    </row>
    <row r="25" spans="1:7" ht="28.5" x14ac:dyDescent="0.45">
      <c r="A25" s="2" t="s">
        <v>63</v>
      </c>
      <c r="B25" s="3">
        <f>23</f>
        <v>23</v>
      </c>
      <c r="C25" s="3">
        <f>24</f>
        <v>24</v>
      </c>
      <c r="D25" s="3">
        <f>-1</f>
        <v>-1</v>
      </c>
      <c r="E25" s="4"/>
      <c r="F25" s="4" t="s">
        <v>64</v>
      </c>
      <c r="G25" s="4" t="s">
        <v>65</v>
      </c>
    </row>
    <row r="26" spans="1:7" ht="28.5" x14ac:dyDescent="0.45">
      <c r="A26" s="2" t="s">
        <v>66</v>
      </c>
      <c r="B26" s="3">
        <f>28</f>
        <v>28</v>
      </c>
      <c r="C26" s="3">
        <f>25</f>
        <v>25</v>
      </c>
      <c r="D26" s="3">
        <f>3</f>
        <v>3</v>
      </c>
      <c r="E26" s="4" t="s">
        <v>67</v>
      </c>
      <c r="F26" s="4" t="s">
        <v>68</v>
      </c>
      <c r="G26" s="4" t="s">
        <v>69</v>
      </c>
    </row>
    <row r="27" spans="1:7" x14ac:dyDescent="0.45">
      <c r="A27" s="2" t="s">
        <v>70</v>
      </c>
      <c r="B27" s="3">
        <f>22</f>
        <v>22</v>
      </c>
      <c r="C27" s="3">
        <f>26</f>
        <v>26</v>
      </c>
      <c r="D27" s="3">
        <f>-4</f>
        <v>-4</v>
      </c>
      <c r="E27" s="4" t="s">
        <v>71</v>
      </c>
      <c r="F27" s="4" t="s">
        <v>72</v>
      </c>
      <c r="G27" s="4"/>
    </row>
    <row r="28" spans="1:7" x14ac:dyDescent="0.45">
      <c r="A28" s="2" t="s">
        <v>73</v>
      </c>
      <c r="B28" s="3">
        <f>25</f>
        <v>25</v>
      </c>
      <c r="C28" s="3">
        <f>27</f>
        <v>27</v>
      </c>
      <c r="D28" s="3">
        <f>-2</f>
        <v>-2</v>
      </c>
      <c r="E28" s="4"/>
      <c r="F28" s="4"/>
      <c r="G28" s="4" t="s">
        <v>74</v>
      </c>
    </row>
    <row r="29" spans="1:7" ht="28.5" x14ac:dyDescent="0.45">
      <c r="A29" s="2" t="s">
        <v>75</v>
      </c>
      <c r="B29" s="3">
        <f>35</f>
        <v>35</v>
      </c>
      <c r="C29" s="3">
        <f>28</f>
        <v>28</v>
      </c>
      <c r="D29" s="3">
        <f>7</f>
        <v>7</v>
      </c>
      <c r="E29" s="4" t="s">
        <v>76</v>
      </c>
      <c r="F29" s="4" t="s">
        <v>77</v>
      </c>
      <c r="G29" s="4" t="s">
        <v>78</v>
      </c>
    </row>
    <row r="30" spans="1:7" x14ac:dyDescent="0.45">
      <c r="A30" s="2" t="s">
        <v>79</v>
      </c>
      <c r="B30" s="3">
        <f>29</f>
        <v>29</v>
      </c>
      <c r="C30" s="3">
        <f>29</f>
        <v>29</v>
      </c>
      <c r="D30" s="3">
        <f>0</f>
        <v>0</v>
      </c>
      <c r="E30" s="4" t="s">
        <v>80</v>
      </c>
      <c r="F30" s="4"/>
      <c r="G30" s="4" t="s">
        <v>81</v>
      </c>
    </row>
    <row r="31" spans="1:7" ht="28.5" x14ac:dyDescent="0.45">
      <c r="A31" s="2" t="s">
        <v>82</v>
      </c>
      <c r="B31" s="3">
        <f>27</f>
        <v>27</v>
      </c>
      <c r="C31" s="3">
        <f>30</f>
        <v>30</v>
      </c>
      <c r="D31" s="3">
        <f>-3</f>
        <v>-3</v>
      </c>
      <c r="E31" s="4" t="s">
        <v>83</v>
      </c>
      <c r="F31" s="4"/>
      <c r="G31" s="4" t="s">
        <v>31</v>
      </c>
    </row>
    <row r="32" spans="1:7" x14ac:dyDescent="0.45">
      <c r="A32" s="2" t="s">
        <v>84</v>
      </c>
      <c r="B32" s="3">
        <f>30</f>
        <v>30</v>
      </c>
      <c r="C32" s="3">
        <f>31</f>
        <v>31</v>
      </c>
      <c r="D32" s="3">
        <f>-1</f>
        <v>-1</v>
      </c>
      <c r="E32" s="4" t="s">
        <v>85</v>
      </c>
      <c r="F32" s="4"/>
      <c r="G32" s="4" t="s">
        <v>52</v>
      </c>
    </row>
    <row r="33" spans="1:7" x14ac:dyDescent="0.45">
      <c r="A33" s="2" t="s">
        <v>86</v>
      </c>
      <c r="B33" s="3">
        <f>31</f>
        <v>31</v>
      </c>
      <c r="C33" s="3">
        <f>32</f>
        <v>32</v>
      </c>
      <c r="D33" s="3">
        <f>-1</f>
        <v>-1</v>
      </c>
      <c r="E33" s="4"/>
      <c r="F33" s="4"/>
      <c r="G33" s="4" t="s">
        <v>9</v>
      </c>
    </row>
    <row r="34" spans="1:7" x14ac:dyDescent="0.45">
      <c r="A34" s="2" t="s">
        <v>87</v>
      </c>
      <c r="B34" s="3">
        <f>33</f>
        <v>33</v>
      </c>
      <c r="C34" s="3">
        <f>33</f>
        <v>33</v>
      </c>
      <c r="D34" s="3">
        <f>0</f>
        <v>0</v>
      </c>
      <c r="E34" s="4" t="s">
        <v>88</v>
      </c>
      <c r="F34" s="4"/>
      <c r="G34" s="4"/>
    </row>
    <row r="35" spans="1:7" x14ac:dyDescent="0.45">
      <c r="A35" s="2" t="s">
        <v>89</v>
      </c>
      <c r="B35" s="3">
        <f>32</f>
        <v>32</v>
      </c>
      <c r="C35" s="3">
        <f>34</f>
        <v>34</v>
      </c>
      <c r="D35" s="3">
        <f>-2</f>
        <v>-2</v>
      </c>
      <c r="E35" s="4" t="s">
        <v>90</v>
      </c>
      <c r="F35" s="4" t="s">
        <v>91</v>
      </c>
      <c r="G35" s="4" t="s">
        <v>92</v>
      </c>
    </row>
    <row r="36" spans="1:7" x14ac:dyDescent="0.45">
      <c r="A36" s="2" t="s">
        <v>93</v>
      </c>
      <c r="B36" s="3">
        <f>34</f>
        <v>34</v>
      </c>
      <c r="C36" s="3">
        <f>35</f>
        <v>35</v>
      </c>
      <c r="D36" s="3">
        <f>-1</f>
        <v>-1</v>
      </c>
      <c r="E36" s="4" t="s">
        <v>94</v>
      </c>
      <c r="F36" s="4" t="s">
        <v>95</v>
      </c>
      <c r="G36" s="4"/>
    </row>
    <row r="37" spans="1:7" x14ac:dyDescent="0.45">
      <c r="A37" s="2" t="s">
        <v>96</v>
      </c>
      <c r="B37" s="3">
        <f>37</f>
        <v>37</v>
      </c>
      <c r="C37" s="3">
        <f>36</f>
        <v>36</v>
      </c>
      <c r="D37" s="3">
        <f>1</f>
        <v>1</v>
      </c>
      <c r="E37" s="4" t="s">
        <v>67</v>
      </c>
      <c r="F37" s="4"/>
      <c r="G37" s="4" t="s">
        <v>97</v>
      </c>
    </row>
    <row r="38" spans="1:7" x14ac:dyDescent="0.45">
      <c r="A38" s="2" t="s">
        <v>98</v>
      </c>
      <c r="B38" s="3">
        <f>36</f>
        <v>36</v>
      </c>
      <c r="C38" s="3">
        <f>37</f>
        <v>37</v>
      </c>
      <c r="D38" s="3">
        <f>-1</f>
        <v>-1</v>
      </c>
      <c r="E38" s="4"/>
      <c r="F38" s="4" t="s">
        <v>99</v>
      </c>
      <c r="G38" s="4" t="s">
        <v>100</v>
      </c>
    </row>
    <row r="39" spans="1:7" x14ac:dyDescent="0.45">
      <c r="A39" s="2" t="s">
        <v>101</v>
      </c>
      <c r="B39" s="3">
        <f>38</f>
        <v>38</v>
      </c>
      <c r="C39" s="3">
        <f>38</f>
        <v>38</v>
      </c>
      <c r="D39" s="3">
        <f>0</f>
        <v>0</v>
      </c>
      <c r="E39" s="4" t="s">
        <v>102</v>
      </c>
      <c r="F39" s="4" t="s">
        <v>103</v>
      </c>
      <c r="G39" s="4" t="s">
        <v>104</v>
      </c>
    </row>
    <row r="41" spans="1:7" s="5" customFormat="1" x14ac:dyDescent="0.45">
      <c r="A41" s="6" t="s">
        <v>105</v>
      </c>
    </row>
    <row r="42" spans="1:7" s="5" customFormat="1" x14ac:dyDescent="0.45">
      <c r="A42" s="6" t="s">
        <v>106</v>
      </c>
    </row>
    <row r="43" spans="1:7" s="5" customFormat="1" x14ac:dyDescent="0.45">
      <c r="A43" s="6" t="s">
        <v>107</v>
      </c>
    </row>
  </sheetData>
  <autoFilter ref="A1:G1" xr:uid="{160FA06A-0FD8-4003-9416-5C91480240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 changes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Mengden</dc:creator>
  <cp:lastModifiedBy>Alexander Mengden</cp:lastModifiedBy>
  <dcterms:created xsi:type="dcterms:W3CDTF">2026-08-24T15:02:37Z</dcterms:created>
  <dcterms:modified xsi:type="dcterms:W3CDTF">2026-08-24T15:02:41Z</dcterms:modified>
</cp:coreProperties>
</file>
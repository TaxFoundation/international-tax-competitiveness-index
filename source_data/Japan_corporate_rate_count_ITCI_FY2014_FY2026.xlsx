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ithub\international-tax-competitiveness-index\source_data\"/>
    </mc:Choice>
  </mc:AlternateContent>
  <xr:revisionPtr revIDLastSave="0" documentId="13_ncr:1_{DBA90FCF-1745-4319-9EE2-47D3BD7519CE}" xr6:coauthVersionLast="47" xr6:coauthVersionMax="47" xr10:uidLastSave="{00000000-0000-0000-0000-000000000000}"/>
  <bookViews>
    <workbookView xWindow="-98" yWindow="-98" windowWidth="21795" windowHeight="13875" tabRatio="500" xr2:uid="{00000000-000D-0000-FFFF-FFFF00000000}"/>
  </bookViews>
  <sheets>
    <sheet name="Counts" sheetId="1" r:id="rId1"/>
    <sheet name="Grid" sheetId="2" r:id="rId2"/>
    <sheet name="Parameters" sheetId="3" r:id="rId3"/>
    <sheet name="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189" i="2" l="1"/>
  <c r="P189" i="2"/>
  <c r="P188" i="2"/>
  <c r="Q188" i="2" s="1"/>
  <c r="Q187" i="2"/>
  <c r="P187" i="2"/>
  <c r="Q186" i="2"/>
  <c r="P186" i="2"/>
  <c r="P185" i="2"/>
  <c r="Q185" i="2" s="1"/>
  <c r="Q184" i="2"/>
  <c r="P184" i="2"/>
  <c r="Q183" i="2"/>
  <c r="P183" i="2"/>
  <c r="P182" i="2"/>
  <c r="Q182" i="2" s="1"/>
  <c r="Q181" i="2"/>
  <c r="P181" i="2"/>
  <c r="Q180" i="2"/>
  <c r="P180" i="2"/>
  <c r="Q179" i="2"/>
  <c r="P179" i="2"/>
  <c r="Q178" i="2"/>
  <c r="P178" i="2"/>
  <c r="Q177" i="2"/>
  <c r="P177" i="2"/>
  <c r="P176" i="2"/>
  <c r="Q176" i="2" s="1"/>
  <c r="Q175" i="2"/>
  <c r="P175" i="2"/>
  <c r="Q174" i="2"/>
  <c r="P174" i="2"/>
  <c r="Q173" i="2"/>
  <c r="P173" i="2"/>
  <c r="Q172" i="2"/>
  <c r="P172" i="2"/>
  <c r="Q171" i="2"/>
  <c r="P171" i="2"/>
  <c r="P170" i="2"/>
  <c r="Q170" i="2" s="1"/>
  <c r="Q169" i="2"/>
  <c r="P169" i="2"/>
  <c r="Q168" i="2"/>
  <c r="P168" i="2"/>
  <c r="Q167" i="2"/>
  <c r="P167" i="2"/>
  <c r="Q166" i="2"/>
  <c r="P166" i="2"/>
  <c r="Q165" i="2"/>
  <c r="P165" i="2"/>
  <c r="P164" i="2"/>
  <c r="Q164" i="2" s="1"/>
  <c r="Q163" i="2"/>
  <c r="P163" i="2"/>
  <c r="Q162" i="2"/>
  <c r="P162" i="2"/>
  <c r="Q161" i="2"/>
  <c r="P161" i="2"/>
  <c r="Q160" i="2"/>
  <c r="P160" i="2"/>
  <c r="P159" i="2"/>
  <c r="Q159" i="2" s="1"/>
  <c r="P158" i="2"/>
  <c r="Q158" i="2" s="1"/>
  <c r="Q157" i="2"/>
  <c r="P157" i="2"/>
  <c r="Q156" i="2"/>
  <c r="P156" i="2"/>
  <c r="Q155" i="2"/>
  <c r="P155" i="2"/>
  <c r="Q154" i="2"/>
  <c r="P154" i="2"/>
  <c r="Q153" i="2"/>
  <c r="P153" i="2"/>
  <c r="P152" i="2"/>
  <c r="Q152" i="2" s="1"/>
  <c r="Q151" i="2"/>
  <c r="P151" i="2"/>
  <c r="Q150" i="2"/>
  <c r="P150" i="2"/>
  <c r="Q149" i="2"/>
  <c r="P149" i="2"/>
  <c r="Q148" i="2"/>
  <c r="P148" i="2"/>
  <c r="Q147" i="2"/>
  <c r="P147" i="2"/>
  <c r="P146" i="2"/>
  <c r="Q146" i="2" s="1"/>
  <c r="Q145" i="2"/>
  <c r="P145" i="2"/>
  <c r="Q144" i="2"/>
  <c r="P144" i="2"/>
  <c r="Q143" i="2"/>
  <c r="P143" i="2"/>
  <c r="Q142" i="2"/>
  <c r="P142" i="2"/>
  <c r="Q141" i="2"/>
  <c r="P141" i="2"/>
  <c r="P140" i="2"/>
  <c r="Q140" i="2" s="1"/>
  <c r="Q139" i="2"/>
  <c r="P139" i="2"/>
  <c r="Q138" i="2"/>
  <c r="P138" i="2"/>
  <c r="Q137" i="2"/>
  <c r="P137" i="2"/>
  <c r="Q136" i="2"/>
  <c r="P136" i="2"/>
  <c r="Q135" i="2"/>
  <c r="P135" i="2"/>
  <c r="P134" i="2"/>
  <c r="Q134" i="2" s="1"/>
  <c r="Q133" i="2"/>
  <c r="P133" i="2"/>
  <c r="Q132" i="2"/>
  <c r="P132" i="2"/>
  <c r="Q131" i="2"/>
  <c r="P131" i="2"/>
  <c r="Q130" i="2"/>
  <c r="P130" i="2"/>
  <c r="Q129" i="2"/>
  <c r="P129" i="2"/>
  <c r="P128" i="2"/>
  <c r="Q128" i="2" s="1"/>
  <c r="Q127" i="2"/>
  <c r="P127" i="2"/>
  <c r="Q126" i="2"/>
  <c r="P126" i="2"/>
  <c r="Q125" i="2"/>
  <c r="P125" i="2"/>
  <c r="Q124" i="2"/>
  <c r="P124" i="2"/>
  <c r="Q123" i="2"/>
  <c r="P123" i="2"/>
  <c r="P122" i="2"/>
  <c r="Q122" i="2" s="1"/>
  <c r="P121" i="2"/>
  <c r="Q121" i="2" s="1"/>
  <c r="Q120" i="2"/>
  <c r="P120" i="2"/>
  <c r="Q119" i="2"/>
  <c r="P119" i="2"/>
  <c r="Q118" i="2"/>
  <c r="P118" i="2"/>
  <c r="Q117" i="2"/>
  <c r="P117" i="2"/>
  <c r="P116" i="2"/>
  <c r="Q116" i="2" s="1"/>
  <c r="Q115" i="2"/>
  <c r="P115" i="2"/>
  <c r="Q114" i="2"/>
  <c r="P114" i="2"/>
  <c r="Q113" i="2"/>
  <c r="P113" i="2"/>
  <c r="Q112" i="2"/>
  <c r="P112" i="2"/>
  <c r="Q111" i="2"/>
  <c r="P111" i="2"/>
  <c r="P110" i="2"/>
  <c r="Q110" i="2" s="1"/>
  <c r="Q109" i="2"/>
  <c r="P109" i="2"/>
  <c r="Q108" i="2"/>
  <c r="P108" i="2"/>
  <c r="Q107" i="2"/>
  <c r="P107" i="2"/>
  <c r="Q106" i="2"/>
  <c r="P106" i="2"/>
  <c r="Q105" i="2"/>
  <c r="P105" i="2"/>
  <c r="P104" i="2"/>
  <c r="Q104" i="2" s="1"/>
  <c r="Q103" i="2"/>
  <c r="P103" i="2"/>
  <c r="Q102" i="2"/>
  <c r="P102" i="2"/>
  <c r="Q101" i="2"/>
  <c r="P101" i="2"/>
  <c r="Q100" i="2"/>
  <c r="P100" i="2"/>
  <c r="Q99" i="2"/>
  <c r="P99" i="2"/>
  <c r="P98" i="2"/>
  <c r="Q98" i="2" s="1"/>
  <c r="Q97" i="2"/>
  <c r="P97" i="2"/>
  <c r="Q96" i="2"/>
  <c r="P96" i="2"/>
  <c r="Q95" i="2"/>
  <c r="P95" i="2"/>
  <c r="Q94" i="2"/>
  <c r="P94" i="2"/>
  <c r="Q93" i="2"/>
  <c r="P93" i="2"/>
  <c r="P92" i="2"/>
  <c r="Q92" i="2" s="1"/>
  <c r="Q91" i="2"/>
  <c r="P91" i="2"/>
  <c r="Q90" i="2"/>
  <c r="P90" i="2"/>
  <c r="Q89" i="2"/>
  <c r="P89" i="2"/>
  <c r="Q88" i="2"/>
  <c r="P88" i="2"/>
  <c r="Q87" i="2"/>
  <c r="P87" i="2"/>
  <c r="P86" i="2"/>
  <c r="Q86" i="2" s="1"/>
  <c r="Q85" i="2"/>
  <c r="P85" i="2"/>
  <c r="Q84" i="2"/>
  <c r="P84" i="2"/>
  <c r="Q83" i="2"/>
  <c r="P83" i="2"/>
  <c r="Q82" i="2"/>
  <c r="P82" i="2"/>
  <c r="Q81" i="2"/>
  <c r="P81" i="2"/>
  <c r="P80" i="2"/>
  <c r="Q80" i="2" s="1"/>
  <c r="Q79" i="2"/>
  <c r="P79" i="2"/>
  <c r="Q78" i="2"/>
  <c r="P78" i="2"/>
  <c r="Q77" i="2"/>
  <c r="P77" i="2"/>
  <c r="Q76" i="2"/>
  <c r="P76" i="2"/>
  <c r="Q75" i="2"/>
  <c r="P75" i="2"/>
  <c r="P74" i="2"/>
  <c r="Q74" i="2" s="1"/>
  <c r="Q73" i="2"/>
  <c r="P73" i="2"/>
  <c r="Q72" i="2"/>
  <c r="P72" i="2"/>
  <c r="Q71" i="2"/>
  <c r="P71" i="2"/>
  <c r="Q70" i="2"/>
  <c r="P70" i="2"/>
  <c r="Q69" i="2"/>
  <c r="P69" i="2"/>
  <c r="P68" i="2"/>
  <c r="Q68" i="2" s="1"/>
  <c r="Q67" i="2"/>
  <c r="P67" i="2"/>
  <c r="Q66" i="2"/>
  <c r="P66" i="2"/>
  <c r="Q65" i="2"/>
  <c r="P65" i="2"/>
  <c r="Q64" i="2"/>
  <c r="P64" i="2"/>
  <c r="Q63" i="2"/>
  <c r="P63" i="2"/>
  <c r="P62" i="2"/>
  <c r="Q62" i="2" s="1"/>
  <c r="Q61" i="2"/>
  <c r="P61" i="2"/>
  <c r="Q60" i="2"/>
  <c r="P60" i="2"/>
  <c r="Q59" i="2"/>
  <c r="P59" i="2"/>
  <c r="Q58" i="2"/>
  <c r="P58" i="2"/>
  <c r="Q57" i="2"/>
  <c r="P57" i="2"/>
  <c r="P56" i="2"/>
  <c r="Q56" i="2" s="1"/>
  <c r="Q55" i="2"/>
  <c r="P55" i="2"/>
  <c r="Q54" i="2"/>
  <c r="P54" i="2"/>
  <c r="Q53" i="2"/>
  <c r="P53" i="2"/>
  <c r="Q52" i="2"/>
  <c r="P52" i="2"/>
  <c r="Q51" i="2"/>
  <c r="P51" i="2"/>
  <c r="P50" i="2"/>
  <c r="Q50" i="2" s="1"/>
  <c r="Q49" i="2"/>
  <c r="P49" i="2"/>
  <c r="Q48" i="2"/>
  <c r="P48" i="2"/>
  <c r="Q47" i="2"/>
  <c r="P47" i="2"/>
  <c r="Q46" i="2"/>
  <c r="P46" i="2"/>
  <c r="Q45" i="2"/>
  <c r="P45" i="2"/>
  <c r="P44" i="2"/>
  <c r="Q44" i="2" s="1"/>
  <c r="Q43" i="2"/>
  <c r="P43" i="2"/>
  <c r="Q42" i="2"/>
  <c r="P42" i="2"/>
  <c r="Q41" i="2"/>
  <c r="P41" i="2"/>
  <c r="Q40" i="2"/>
  <c r="P40" i="2"/>
  <c r="Q39" i="2"/>
  <c r="P39" i="2"/>
  <c r="P38" i="2"/>
  <c r="Q38" i="2" s="1"/>
  <c r="Q37" i="2"/>
  <c r="P37" i="2"/>
  <c r="Q36" i="2"/>
  <c r="P36" i="2"/>
  <c r="Q35" i="2"/>
  <c r="P35" i="2"/>
  <c r="Q34" i="2"/>
  <c r="P34" i="2"/>
  <c r="Q33" i="2"/>
  <c r="P33" i="2"/>
  <c r="P32" i="2"/>
  <c r="Q32" i="2" s="1"/>
  <c r="Q31" i="2"/>
  <c r="P31" i="2"/>
  <c r="Q30" i="2"/>
  <c r="P30" i="2"/>
  <c r="Q29" i="2"/>
  <c r="P29" i="2"/>
  <c r="Q28" i="2"/>
  <c r="P28" i="2"/>
  <c r="Q27" i="2"/>
  <c r="P27" i="2"/>
  <c r="P26" i="2"/>
  <c r="Q26" i="2" s="1"/>
  <c r="Q25" i="2"/>
  <c r="P25" i="2"/>
  <c r="Q24" i="2"/>
  <c r="P24" i="2"/>
  <c r="Q23" i="2"/>
  <c r="P23" i="2"/>
  <c r="Q22" i="2"/>
  <c r="P22" i="2"/>
  <c r="Q21" i="2"/>
  <c r="P21" i="2"/>
  <c r="P20" i="2"/>
  <c r="Q20" i="2" s="1"/>
  <c r="Q19" i="2"/>
  <c r="P19" i="2"/>
  <c r="Q18" i="2"/>
  <c r="P18" i="2"/>
  <c r="Q17" i="2"/>
  <c r="P17" i="2"/>
  <c r="Q16" i="2"/>
  <c r="P16" i="2"/>
  <c r="Q15" i="2"/>
  <c r="P15" i="2"/>
  <c r="P14" i="2"/>
  <c r="Q14" i="2" s="1"/>
  <c r="Q13" i="2"/>
  <c r="P13" i="2"/>
  <c r="Q12" i="2"/>
  <c r="P12" i="2"/>
  <c r="Q11" i="2"/>
  <c r="P11" i="2"/>
  <c r="Q10" i="2"/>
  <c r="P10" i="2"/>
  <c r="Q9" i="2"/>
  <c r="P9" i="2"/>
  <c r="P8" i="2"/>
  <c r="Q8" i="2" s="1"/>
  <c r="Q7" i="2"/>
  <c r="P7" i="2"/>
  <c r="Q6" i="2"/>
  <c r="P6" i="2"/>
  <c r="Q5" i="2"/>
  <c r="P5" i="2"/>
  <c r="Q4" i="2"/>
  <c r="P4" i="2"/>
  <c r="Q3" i="2"/>
  <c r="P3" i="2"/>
  <c r="P2" i="2"/>
  <c r="Q2" i="2" s="1"/>
  <c r="G19" i="1"/>
  <c r="F19" i="1"/>
  <c r="E19" i="1"/>
  <c r="D19" i="1"/>
  <c r="C19" i="1"/>
  <c r="G18" i="1"/>
  <c r="F18" i="1"/>
  <c r="E18" i="1"/>
  <c r="D18" i="1"/>
  <c r="C18" i="1"/>
  <c r="G17" i="1"/>
  <c r="F17" i="1"/>
  <c r="E17" i="1"/>
  <c r="D17" i="1"/>
  <c r="C17" i="1"/>
  <c r="G16" i="1"/>
  <c r="F16" i="1"/>
  <c r="E16" i="1"/>
  <c r="D16" i="1"/>
  <c r="C16" i="1"/>
  <c r="G15" i="1"/>
  <c r="F15" i="1"/>
  <c r="E15" i="1"/>
  <c r="D15" i="1"/>
  <c r="C15" i="1"/>
  <c r="G14" i="1"/>
  <c r="F14" i="1"/>
  <c r="E14" i="1"/>
  <c r="D14" i="1"/>
  <c r="C14" i="1"/>
  <c r="G13" i="1"/>
  <c r="F13" i="1"/>
  <c r="E13" i="1"/>
  <c r="D13" i="1"/>
  <c r="C13" i="1"/>
  <c r="G12" i="1"/>
  <c r="F12" i="1"/>
  <c r="E12" i="1"/>
  <c r="D12" i="1"/>
  <c r="C12" i="1"/>
  <c r="G11" i="1"/>
  <c r="F11" i="1"/>
  <c r="E11" i="1"/>
  <c r="D11" i="1"/>
  <c r="C11" i="1"/>
  <c r="G10" i="1"/>
  <c r="F10" i="1"/>
  <c r="E10" i="1"/>
  <c r="D10" i="1"/>
  <c r="C10" i="1"/>
  <c r="G9" i="1"/>
  <c r="F9" i="1"/>
  <c r="E9" i="1"/>
  <c r="D9" i="1"/>
  <c r="C9" i="1"/>
  <c r="G8" i="1"/>
  <c r="F8" i="1"/>
  <c r="E8" i="1"/>
  <c r="D8" i="1"/>
  <c r="C8" i="1"/>
  <c r="G7" i="1"/>
  <c r="F7" i="1"/>
  <c r="E7" i="1"/>
  <c r="D7" i="1"/>
  <c r="C7" i="1"/>
  <c r="G6" i="1"/>
  <c r="F6" i="1"/>
  <c r="E6" i="1"/>
  <c r="D6" i="1"/>
  <c r="C6" i="1"/>
  <c r="G5" i="1"/>
  <c r="G20" i="1" s="1"/>
  <c r="F5" i="1"/>
  <c r="F20" i="1" s="1"/>
  <c r="E5" i="1"/>
  <c r="E20" i="1" s="1"/>
  <c r="D5" i="1"/>
  <c r="D20" i="1" s="1"/>
  <c r="C5" i="1"/>
  <c r="C20" i="1" s="1"/>
</calcChain>
</file>

<file path=xl/sharedStrings.xml><?xml version="1.0" encoding="utf-8"?>
<sst xmlns="http://schemas.openxmlformats.org/spreadsheetml/2006/main" count="1928" uniqueCount="156">
  <si>
    <t>Japan: number of applicable corporate income tax rates, fiscal years beginning 2014-2026</t>
  </si>
  <si>
    <t>Tokyo 23 wards, ordinary corporations (class 1 business), enterprise tax income base only. Input for the ITCI corporate_alt_minimum variable.</t>
  </si>
  <si>
    <t>Regime</t>
  </si>
  <si>
    <t>Fiscal years beginning</t>
  </si>
  <si>
    <t>A: rates in the PwC rate table</t>
  </si>
  <si>
    <t>B: full statutory schedule</t>
  </si>
  <si>
    <t>of which: core (= A)</t>
  </si>
  <si>
    <t>of which: added by the multi-prefecture rule</t>
  </si>
  <si>
    <t>of which: added by the 19% excluded-enterprise band</t>
  </si>
  <si>
    <t>Change in A vs previous regime</t>
  </si>
  <si>
    <t>2014a</t>
  </si>
  <si>
    <t>FY beg. 1 Apr 2014 - 30 Sep 2014</t>
  </si>
  <si>
    <t>baseline</t>
  </si>
  <si>
    <t>2014b</t>
  </si>
  <si>
    <t>FY beg. 1 Oct 2014 - 31 Mar 2015</t>
  </si>
  <si>
    <t>no change (about one third of the special local corporate tax returned to enterprise tax rates)</t>
  </si>
  <si>
    <t>2015</t>
  </si>
  <si>
    <t>FY beg. 1 Apr 2015 - 31 Mar 2016</t>
  </si>
  <si>
    <t>no change (national rate 25.5 -&gt; 23.9; size-based taxation expanded)</t>
  </si>
  <si>
    <t>2016</t>
  </si>
  <si>
    <t>FY beg. 1 Apr 2016 - 31 Mar 2017</t>
  </si>
  <si>
    <t>no change (national rate 23.9 -&gt; 23.4; size-based expansion phase 2)</t>
  </si>
  <si>
    <t>2017</t>
  </si>
  <si>
    <t>FY beg. 1 Apr 2017 - 31 Mar 2018</t>
  </si>
  <si>
    <t>no change</t>
  </si>
  <si>
    <t>2018</t>
  </si>
  <si>
    <t>FY beg. 1 Apr 2018 - 31 Mar 2019</t>
  </si>
  <si>
    <t>no change (national rate 23.4 -&gt; 23.2)</t>
  </si>
  <si>
    <t>2019a</t>
  </si>
  <si>
    <t>FY beg. 1 Apr 2019 - 30 Sep 2019</t>
  </si>
  <si>
    <t>no change in A. B rises 11 -&gt; 14: the 19% statutory rate revives for excluded enterprises</t>
  </si>
  <si>
    <t>2019b</t>
  </si>
  <si>
    <t>FY beg. 1 Oct 2019 - 31 Mar 2020</t>
  </si>
  <si>
    <t>no change (special local corporate tax replaced by the special corporate business tax; local corporate tax 4.4 -&gt; 10.3)</t>
  </si>
  <si>
    <t>2020</t>
  </si>
  <si>
    <t>FY beg. 1 Apr 2020 - 31 Mar 2021</t>
  </si>
  <si>
    <t>2021</t>
  </si>
  <si>
    <t>FY beg. 1 Apr 2021 - 31 Mar 2022</t>
  </si>
  <si>
    <t>2022</t>
  </si>
  <si>
    <t>FY beg. 1 Apr 2022 - 31 Mar 2023</t>
  </si>
  <si>
    <t>9 -&gt; 7: graduated income-base enterprise rates withdrawn for size-based taxpayers (FY2022 reform)</t>
  </si>
  <si>
    <t>2023</t>
  </si>
  <si>
    <t>FY beg. 1 Apr 2023 - 31 Mar 2024</t>
  </si>
  <si>
    <t>2024</t>
  </si>
  <si>
    <t>FY beg. 1 Apr 2024 - 31 Mar 2025</t>
  </si>
  <si>
    <t>no change (size-based taxation scope widened, but no new rate)</t>
  </si>
  <si>
    <t>2025</t>
  </si>
  <si>
    <t>FY beg. 1 Apr 2025 - 31 Mar 2026</t>
  </si>
  <si>
    <t>7 -&gt; 9: new 17% band on the first JPY 8m where income exceeds JPY 1bn (2025 Tax Reform Act)</t>
  </si>
  <si>
    <t>2026</t>
  </si>
  <si>
    <t>FY beg. on/after 1 Apr 2026</t>
  </si>
  <si>
    <t>no change (4% defence surtax applies to all cells proportionally)</t>
  </si>
  <si>
    <t>Check: columns E+F+G equal column D</t>
  </si>
  <si>
    <t>Scope</t>
  </si>
  <si>
    <t>Classifier group</t>
  </si>
  <si>
    <t>Paid-in capital</t>
  </si>
  <si>
    <t>Income bracket (enterprise tax)</t>
  </si>
  <si>
    <t>Enterprise rate applied</t>
  </si>
  <si>
    <t>National rate variant</t>
  </si>
  <si>
    <t>National CIT rate (%)</t>
  </si>
  <si>
    <t>Enterprise tax, income base (%)</t>
  </si>
  <si>
    <t>Standard income-base rate (base of SBT) (%)</t>
  </si>
  <si>
    <t>Special local corp. tax / special corp. business tax (% of income base)</t>
  </si>
  <si>
    <t>Local corporate tax (% of CIT)</t>
  </si>
  <si>
    <t>Inhabitants' tax, super (% of CIT)</t>
  </si>
  <si>
    <t>Defence surtax (% of CIT)</t>
  </si>
  <si>
    <t>Combined marginal statutory rate (%)</t>
  </si>
  <si>
    <t>Effective statutory rate (%)</t>
  </si>
  <si>
    <t>New rate under A</t>
  </si>
  <si>
    <t>New rate under B</t>
  </si>
  <si>
    <t>Note</t>
  </si>
  <si>
    <t>A</t>
  </si>
  <si>
    <t>core (Convention A)</t>
  </si>
  <si>
    <t>&lt;= JPY 100m</t>
  </si>
  <si>
    <t>&lt;= JPY 4m</t>
  </si>
  <si>
    <t>standard</t>
  </si>
  <si>
    <t>15 (Sp.Meas. 42-3-2)</t>
  </si>
  <si>
    <t>graduated brackets, standard enterprise rate (income &lt;= JPY 25m and revenue &lt;= JPY 200m)</t>
  </si>
  <si>
    <t>Tokyo super</t>
  </si>
  <si>
    <t>graduated brackets, Tokyo super rate (income &gt; JPY 25m or revenue &gt; JPY 200m)</t>
  </si>
  <si>
    <t>JPY 4-8m</t>
  </si>
  <si>
    <t>&gt; JPY 8m</t>
  </si>
  <si>
    <t>general</t>
  </si>
  <si>
    <t>&gt; JPY 100m</t>
  </si>
  <si>
    <t>size-based taxpayer, graduated income base</t>
  </si>
  <si>
    <t>B</t>
  </si>
  <si>
    <t>multi-prefecture</t>
  </si>
  <si>
    <t>first JPY 8m, no graduation</t>
  </si>
  <si>
    <t>15</t>
  </si>
  <si>
    <t>capital &gt;= JPY 10m and offices in 3+ prefectures: graduated enterprise brackets disapplied, so the top rate applies to the first JPY 8m as well (Local Tax Act art. 72-24-7)</t>
  </si>
  <si>
    <t>excluded enterprise (19%)</t>
  </si>
  <si>
    <t>19</t>
  </si>
  <si>
    <t>capital &gt;= JPY 10m and offices in 3+ prefectures: graduated enterprise brackets disapplied, so the top rate applies to the first JPY 8m as well (Local Tax Act art. 72-24-7) AND excluded enterprise: this cell requires both classifiers</t>
  </si>
  <si>
    <t>excluded enterprise (3-yr average income &gt; JPY 1.5bn): statutory 19% under Corp. Tax Act art. 66(2)</t>
  </si>
  <si>
    <t>all income</t>
  </si>
  <si>
    <t>size-based taxpayer, flat income base (graduated rates withdrawn for FY beginning on/after 1 Apr 2022)</t>
  </si>
  <si>
    <t>17</t>
  </si>
  <si>
    <t>income &gt; JPY 1bn: first JPY 8m at 17% (2025 Tax Reform Act); super rate necessarily applies</t>
  </si>
  <si>
    <t>National CIT rate, general (%)</t>
  </si>
  <si>
    <t>Rates available on the first JPY 8m (%)</t>
  </si>
  <si>
    <t>Enterprise tax income base, capital &lt;= JPY 100m: standard (%)</t>
  </si>
  <si>
    <t>... Tokyo super (%)</t>
  </si>
  <si>
    <t>Enterprise tax income base, capital &gt; JPY 100m: standard (%)</t>
  </si>
  <si>
    <t>Special local corp. tax / special corp. business tax, non-size-based (%)</t>
  </si>
  <si>
    <t>... size-based (%)</t>
  </si>
  <si>
    <t>Inhabitants' tax, 23 wards: standard (%)</t>
  </si>
  <si>
    <t>... super (%)</t>
  </si>
  <si>
    <t>Special defence corporate surtax (% of CIT)</t>
  </si>
  <si>
    <t>Graduated income base for size-based taxpayers?</t>
  </si>
  <si>
    <t>2.7 / 4 / 5.3</t>
  </si>
  <si>
    <t>2.95 / 4.365 / 5.78</t>
  </si>
  <si>
    <t>1.5 / 2.2 / 2.9</t>
  </si>
  <si>
    <t>1.69 / 2.475 / 3.26</t>
  </si>
  <si>
    <t>yes</t>
  </si>
  <si>
    <t>3.4 / 5.1 / 6.7</t>
  </si>
  <si>
    <t>3.65 / 5.465 / 7.18</t>
  </si>
  <si>
    <t>2.2 / 3.2 / 4.3</t>
  </si>
  <si>
    <t>2.39 / 3.475 / 4.66</t>
  </si>
  <si>
    <t>1.6 / 2.3 / 3.1</t>
  </si>
  <si>
    <t>1.755 / 2.53 / 3.4</t>
  </si>
  <si>
    <t>0.3 / 0.5 / 0.7</t>
  </si>
  <si>
    <t>0.395 / 0.635 / 0.88</t>
  </si>
  <si>
    <t>15 / 19</t>
  </si>
  <si>
    <t>3.5 / 5.3 / 7</t>
  </si>
  <si>
    <t>3.75 / 5.665 / 7.48</t>
  </si>
  <si>
    <t>0.4 / 0.7 / 1</t>
  </si>
  <si>
    <t>0.495 / 0.835 / 1.18</t>
  </si>
  <si>
    <t>1</t>
  </si>
  <si>
    <t>1.18</t>
  </si>
  <si>
    <t>no</t>
  </si>
  <si>
    <t>15 / 17 / 19</t>
  </si>
  <si>
    <t>Only the super column of inhabitants' tax feeds the Grid, following the PwC presentation. The standard rate is shown for reference; it applies where capital &lt;= JPY 100m and corporate tax &lt;= JPY 10m.</t>
  </si>
  <si>
    <t>Sources</t>
  </si>
  <si>
    <t>National rates 25.5 / 23.9 / 23.4 / 23.2 and the SME special rate (15%, raised to 17% where income &gt; JPY 1bn from FY2025): Corporation Tax Act art. 66(1)-(2); Act on Special Measures Concerning Taxation art. 42-3-2(1); MOF, Hojinzei no zeiritsu no suii, https://www.mof.go.jp/tax_policy/summary/corporation/082.pdf</t>
  </si>
  <si>
    <t>Excluded enterprise (tekiyo jogai jigyosha), 3-year average income &gt; JPY 1.5bn, FY beginning on/after 1 Apr 2019: Act on Special Measures Concerning Taxation art. 42-4(19)(viii) (cited as art. 42-4(8)(viii) in earlier NTA guidance); Order art. 27-4(13)-(17); NTA, https://www.nta.go.jp/law/joho-zeikaishaku/hojin/group_faq/83.htm</t>
  </si>
  <si>
    <t>Enterprise tax and inhabitants tax rates by period, Tokyo: Tokyo Metropolitan Bureau of Taxation, https://www.tax.metro.tokyo.lg.jp/kazei/work/houjinji and the FY2014 rate-revision leaflet, https://www.tax.metro.tokyo.lg.jp/documents/d/tax/zeiritu_kaisei ; Local Tax Act art. 72-24-7</t>
  </si>
  <si>
    <t>Graduated income-base rates withdrawn for size-based taxpayers, FY beginning on/after 1 Apr 2022: FY2022 (Reiwa 4) tax reform; Tokyo rate table note 3</t>
  </si>
  <si>
    <t>Special defence corporate surtax, 4% of corporate tax less a JPY 5m basic deduction, FY beginning on/after 1 Apr 2026: 2025 Tax Reform Act</t>
  </si>
  <si>
    <t>Tokyo super-rate trigger for enterprise tax: annual income &gt; JPY 25m or annual revenue &gt; JPY 200m. Graduated brackets disapplied where capital &gt;= JPY 10m and offices in 3 or more prefectures</t>
  </si>
  <si>
    <t>Method, scope and coding notes</t>
  </si>
  <si>
    <t>Counting rule</t>
  </si>
  <si>
    <t>A combination is counted where it produces a distinct pair of (national CIT marginal rate, Tokyo enterprise tax income-base marginal rate). Deduplication makes no difference in any year: every admitted income-revenue-capital combination generates a distinct rate, so the count of unique rates equals the count of bracket cells throughout FY2014-FY2026.</t>
  </si>
  <si>
    <t>Scope A - rates visible in the PwC rate table</t>
  </si>
  <si>
    <t>Classifiers: paid-in capital (JPY 100m), the enterprise tax graduated brackets (JPY 4m / JPY 8m), the Tokyo super-rate trigger (income &gt; JPY 25m or revenue &gt; JPY 200m), and the JPY 1bn income threshold for the 17% band. This is the scope that yields 9 for FY2026.</t>
  </si>
  <si>
    <t>Scope B - full statutory schedule</t>
  </si>
  <si>
    <t>A plus the two classifiers PwC relegates to footnotes. (i) Multi-prefecture rule: where capital is at least JPY 10m and the corporation has offices in three or more prefectures, the graduated enterprise brackets are disapplied, so the top rate applies to the first JPY 8m as well. This adds exactly two cells in every year, 15% + 7.0% and 15% + 7.48% at current rates, and a third from FY2025 via the 17% band. It adds nothing where capital exceeds JPY 100m. (ii) The 19% excluded-enterprise band, which adds three cells from FY2019, one of which also requires multi-prefecture status.</t>
  </si>
  <si>
    <t>Incidence differs sharply from cell count</t>
  </si>
  <si>
    <t>The 19% band requires three-year average income above JPY 1.5bn while capital stays at or below JPY 100m, a small population. The multi-prefecture rule requires only JPY 10m of capital, historically the standard minimum for a kabushiki kaisha, plus establishments in three prefectures, which is an ordinary mid-sized profile. If the variable is meant to reflect rate multiplicity taxpayers actually face, the multi-prefecture cells have the stronger claim and the 19% band the weaker one, notwithstanding that the 19% band contributes more cells. No published cross-tabulation of capital class by number of prefectures of establishment exists in the NTA Kaisha Hyohon Chosa.</t>
  </si>
  <si>
    <t>A duplicate that is not a duplicate</t>
  </si>
  <si>
    <t>A multi-prefecture corporation with income above JPY 8m faces the same marginal rate as a graduated corporation in the same bracket. That is the same cell rather than a second one, which is why the multi-prefecture rows in the Grid cover only the first JPY 8m.</t>
  </si>
  <si>
    <t>Outside the scope of the count</t>
  </si>
  <si>
    <t>Value-added base (1.26%) and capital base (0.525%) of enterprise tax; the per-capita inhabitants' tax; the inhabitants' tax super-rate threshold (corporate tax &gt; JPY 10m), which would split cells that A and B treat as one; the JPY 5m basic deduction in the defence surtax; prefectures other than Tokyo (the Local Tax Act cap is 1.2x the standard rate, and 1.7x for the income base of ordinary corporations with capital &gt; JPY 100m); special enterprise tax regimes for electricity, gas, insurance, co-operatives and medical corporations; Pillar Two top-up taxes; and the FY2026-FY2028 transitional relief for corporations newly brought into size-based taxation.</t>
  </si>
  <si>
    <t>Mid-year regime breaks</t>
  </si>
  <si>
    <t>The 2014 and 2019 changes applied to fiscal years beginning on or after 1 October, so calendar 2014 and 2019 each contain two regimes (2014a / 2014b and 2019a / 2019b). The counts are identical across the two halves of each year; the rate levels are not.</t>
  </si>
  <si>
    <t>Formulas</t>
  </si>
  <si>
    <t>Combined marginal statutory rate = national CIT rate x (1 + local corporate tax + inhabitants' tax + defence surtax) + enterprise tax income-base rate + special local corporate tax (or special corporate business tax) x the standard-rate income-base rate for the same bracket. The effective statutory rate divides by (1 + enterprise tax + special corporate business tax) because both are deductible. FY2026 reproduces the PwC figures of 39.00 / 35.43 for capital above JPY 100m and 32.71 / 31.52 for the top SME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</si>
</sst>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1"/>
      <color theme="1"/>
      <name val="Calibri"/>
      <family val="2"/>
      <charset val="1"/>
    </font>
    <font>
      <sz val="11"/>
      <color theme="1"/>
      <name val="Calibri"/>
      <family val="2"/>
      <scheme val="minor"/>
    </font>
    <font>
      <b/>
      <sz val="13"/>
      <name val="Calibri"/>
      <family val="2"/>
    </font>
    <font>
      <sz val="11"/>
      <color theme="1"/>
      <name val="Calibri"/>
      <family val="2"/>
    </font>
    <font>
      <i/>
      <sz val="10"/>
      <name val="Calibri"/>
      <family val="2"/>
    </font>
    <font>
      <b/>
      <sz val="10"/>
      <name val="Calibri"/>
      <family val="2"/>
    </font>
    <font>
      <sz val="10"/>
      <name val="Calibri"/>
      <family val="2"/>
    </font>
    <font>
      <sz val="11"/>
      <name val="Calibri"/>
      <family val="2"/>
    </font>
    <font>
      <sz val="10"/>
      <name val="Calibri"/>
      <family val="2"/>
      <scheme val="minor"/>
    </font>
    <font>
      <b/>
      <sz val="10"/>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right/>
      <top/>
      <bottom style="thin">
        <color rgb="FFBFBFBF"/>
      </bottom>
      <diagonal/>
    </border>
  </borders>
  <cellStyleXfs count="1">
    <xf numFmtId="0" fontId="0" fillId="0" borderId="0"/>
  </cellStyleXfs>
  <cellXfs count="19">
    <xf numFmtId="0" fontId="0" fillId="0" borderId="0" xfId="0"/>
    <xf numFmtId="0" fontId="2" fillId="0" borderId="0" xfId="0" applyFont="1"/>
    <xf numFmtId="0" fontId="3" fillId="0" borderId="0" xfId="0" applyFont="1"/>
    <xf numFmtId="0" fontId="5" fillId="0" borderId="0" xfId="0" applyFont="1" applyFill="1" applyBorder="1" applyAlignment="1">
      <alignment vertical="top" wrapText="1"/>
    </xf>
    <xf numFmtId="0" fontId="6" fillId="0" borderId="0" xfId="0" applyFont="1" applyFill="1" applyBorder="1" applyAlignment="1">
      <alignment vertical="top" wrapText="1"/>
    </xf>
    <xf numFmtId="0" fontId="7" fillId="0" borderId="0" xfId="0" applyFont="1" applyFill="1" applyBorder="1"/>
    <xf numFmtId="0" fontId="4" fillId="0" borderId="0" xfId="0" applyFont="1" applyFill="1" applyBorder="1"/>
    <xf numFmtId="0" fontId="6" fillId="0" borderId="0" xfId="0" applyFont="1"/>
    <xf numFmtId="0" fontId="8" fillId="0" borderId="1" xfId="0" applyFont="1" applyFill="1" applyBorder="1"/>
    <xf numFmtId="164" fontId="8" fillId="0" borderId="1" xfId="0" applyNumberFormat="1" applyFont="1" applyFill="1" applyBorder="1"/>
    <xf numFmtId="0" fontId="8" fillId="0" borderId="1" xfId="0" applyFont="1" applyFill="1" applyBorder="1" applyAlignment="1">
      <alignment vertical="top" wrapText="1"/>
    </xf>
    <xf numFmtId="0" fontId="9" fillId="0" borderId="0" xfId="0" applyFont="1" applyFill="1" applyAlignment="1">
      <alignment vertical="top" wrapText="1"/>
    </xf>
    <xf numFmtId="0" fontId="1" fillId="0" borderId="0" xfId="0" applyFont="1"/>
    <xf numFmtId="0" fontId="10" fillId="0" borderId="0" xfId="0" applyFont="1" applyFill="1" applyAlignment="1">
      <alignment vertical="top" wrapText="1"/>
    </xf>
    <xf numFmtId="0" fontId="11" fillId="0" borderId="1" xfId="0" applyFont="1" applyFill="1" applyBorder="1"/>
    <xf numFmtId="0" fontId="10" fillId="0" borderId="0" xfId="0" applyFont="1"/>
    <xf numFmtId="0" fontId="11" fillId="0" borderId="0" xfId="0" applyFont="1" applyFill="1"/>
    <xf numFmtId="0" fontId="10" fillId="0" borderId="0" xfId="0" applyFont="1" applyFill="1"/>
    <xf numFmtId="0" fontId="11"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zoomScaleNormal="100" workbookViewId="0">
      <selection activeCell="C4" sqref="C4"/>
    </sheetView>
  </sheetViews>
  <sheetFormatPr defaultColWidth="8.6640625" defaultRowHeight="14.25" x14ac:dyDescent="0.45"/>
  <cols>
    <col min="1" max="1" width="10" style="2" customWidth="1"/>
    <col min="2" max="2" width="31" style="2" customWidth="1"/>
    <col min="3" max="3" width="17" style="2" customWidth="1"/>
    <col min="4" max="4" width="15" style="2" customWidth="1"/>
    <col min="5" max="5" width="12" style="2" customWidth="1"/>
    <col min="6" max="6" width="17" style="2" customWidth="1"/>
    <col min="7" max="7" width="20" style="2" customWidth="1"/>
    <col min="8" max="8" width="74" style="2" customWidth="1"/>
    <col min="9" max="16384" width="8.6640625" style="2"/>
  </cols>
  <sheetData>
    <row r="1" spans="1:8" ht="16.899999999999999" x14ac:dyDescent="0.5">
      <c r="A1" s="1" t="s">
        <v>0</v>
      </c>
    </row>
    <row r="2" spans="1:8" x14ac:dyDescent="0.45">
      <c r="A2" s="7" t="s">
        <v>1</v>
      </c>
    </row>
    <row r="4" spans="1:8" ht="61.5" customHeight="1" x14ac:dyDescent="0.45">
      <c r="A4" s="3" t="s">
        <v>2</v>
      </c>
      <c r="B4" s="3" t="s">
        <v>3</v>
      </c>
      <c r="C4" s="3" t="s">
        <v>4</v>
      </c>
      <c r="D4" s="3" t="s">
        <v>5</v>
      </c>
      <c r="E4" s="3" t="s">
        <v>6</v>
      </c>
      <c r="F4" s="3" t="s">
        <v>7</v>
      </c>
      <c r="G4" s="3" t="s">
        <v>8</v>
      </c>
      <c r="H4" s="3" t="s">
        <v>9</v>
      </c>
    </row>
    <row r="5" spans="1:8" x14ac:dyDescent="0.45">
      <c r="A5" s="3" t="s">
        <v>10</v>
      </c>
      <c r="B5" s="4" t="s">
        <v>11</v>
      </c>
      <c r="C5" s="4">
        <f>SUMIFS(Grid!$R$2:$R$189,Grid!$A$2:$A$189,$A5)</f>
        <v>9</v>
      </c>
      <c r="D5" s="4">
        <f>SUMIFS(Grid!$S$2:$S$189,Grid!$A$2:$A$189,$A5)</f>
        <v>11</v>
      </c>
      <c r="E5" s="4">
        <f>SUMIFS(Grid!$S$2:$S$189,Grid!$A$2:$A$189,$A5,Grid!$D$2:$D$189,"core (Convention A)")</f>
        <v>9</v>
      </c>
      <c r="F5" s="4">
        <f>SUMIFS(Grid!$S$2:$S$189,Grid!$A$2:$A$189,$A5,Grid!$D$2:$D$189,"multi-prefecture")</f>
        <v>2</v>
      </c>
      <c r="G5" s="4">
        <f>SUMIFS(Grid!$S$2:$S$189,Grid!$A$2:$A$189,$A5,Grid!$D$2:$D$189,"excluded enterprise (19%)")</f>
        <v>0</v>
      </c>
      <c r="H5" s="4" t="s">
        <v>12</v>
      </c>
    </row>
    <row r="6" spans="1:8" x14ac:dyDescent="0.45">
      <c r="A6" s="3" t="s">
        <v>13</v>
      </c>
      <c r="B6" s="4" t="s">
        <v>14</v>
      </c>
      <c r="C6" s="4">
        <f>SUMIFS(Grid!$R$2:$R$189,Grid!$A$2:$A$189,$A6)</f>
        <v>9</v>
      </c>
      <c r="D6" s="4">
        <f>SUMIFS(Grid!$S$2:$S$189,Grid!$A$2:$A$189,$A6)</f>
        <v>11</v>
      </c>
      <c r="E6" s="4">
        <f>SUMIFS(Grid!$S$2:$S$189,Grid!$A$2:$A$189,$A6,Grid!$D$2:$D$189,"core (Convention A)")</f>
        <v>9</v>
      </c>
      <c r="F6" s="4">
        <f>SUMIFS(Grid!$S$2:$S$189,Grid!$A$2:$A$189,$A6,Grid!$D$2:$D$189,"multi-prefecture")</f>
        <v>2</v>
      </c>
      <c r="G6" s="4">
        <f>SUMIFS(Grid!$S$2:$S$189,Grid!$A$2:$A$189,$A6,Grid!$D$2:$D$189,"excluded enterprise (19%)")</f>
        <v>0</v>
      </c>
      <c r="H6" s="4" t="s">
        <v>15</v>
      </c>
    </row>
    <row r="7" spans="1:8" x14ac:dyDescent="0.45">
      <c r="A7" s="3" t="s">
        <v>16</v>
      </c>
      <c r="B7" s="4" t="s">
        <v>17</v>
      </c>
      <c r="C7" s="4">
        <f>SUMIFS(Grid!$R$2:$R$189,Grid!$A$2:$A$189,$A7)</f>
        <v>9</v>
      </c>
      <c r="D7" s="4">
        <f>SUMIFS(Grid!$S$2:$S$189,Grid!$A$2:$A$189,$A7)</f>
        <v>11</v>
      </c>
      <c r="E7" s="4">
        <f>SUMIFS(Grid!$S$2:$S$189,Grid!$A$2:$A$189,$A7,Grid!$D$2:$D$189,"core (Convention A)")</f>
        <v>9</v>
      </c>
      <c r="F7" s="4">
        <f>SUMIFS(Grid!$S$2:$S$189,Grid!$A$2:$A$189,$A7,Grid!$D$2:$D$189,"multi-prefecture")</f>
        <v>2</v>
      </c>
      <c r="G7" s="4">
        <f>SUMIFS(Grid!$S$2:$S$189,Grid!$A$2:$A$189,$A7,Grid!$D$2:$D$189,"excluded enterprise (19%)")</f>
        <v>0</v>
      </c>
      <c r="H7" s="4" t="s">
        <v>18</v>
      </c>
    </row>
    <row r="8" spans="1:8" x14ac:dyDescent="0.45">
      <c r="A8" s="3" t="s">
        <v>19</v>
      </c>
      <c r="B8" s="4" t="s">
        <v>20</v>
      </c>
      <c r="C8" s="4">
        <f>SUMIFS(Grid!$R$2:$R$189,Grid!$A$2:$A$189,$A8)</f>
        <v>9</v>
      </c>
      <c r="D8" s="4">
        <f>SUMIFS(Grid!$S$2:$S$189,Grid!$A$2:$A$189,$A8)</f>
        <v>11</v>
      </c>
      <c r="E8" s="4">
        <f>SUMIFS(Grid!$S$2:$S$189,Grid!$A$2:$A$189,$A8,Grid!$D$2:$D$189,"core (Convention A)")</f>
        <v>9</v>
      </c>
      <c r="F8" s="4">
        <f>SUMIFS(Grid!$S$2:$S$189,Grid!$A$2:$A$189,$A8,Grid!$D$2:$D$189,"multi-prefecture")</f>
        <v>2</v>
      </c>
      <c r="G8" s="4">
        <f>SUMIFS(Grid!$S$2:$S$189,Grid!$A$2:$A$189,$A8,Grid!$D$2:$D$189,"excluded enterprise (19%)")</f>
        <v>0</v>
      </c>
      <c r="H8" s="4" t="s">
        <v>21</v>
      </c>
    </row>
    <row r="9" spans="1:8" x14ac:dyDescent="0.45">
      <c r="A9" s="3" t="s">
        <v>22</v>
      </c>
      <c r="B9" s="4" t="s">
        <v>23</v>
      </c>
      <c r="C9" s="4">
        <f>SUMIFS(Grid!$R$2:$R$189,Grid!$A$2:$A$189,$A9)</f>
        <v>9</v>
      </c>
      <c r="D9" s="4">
        <f>SUMIFS(Grid!$S$2:$S$189,Grid!$A$2:$A$189,$A9)</f>
        <v>11</v>
      </c>
      <c r="E9" s="4">
        <f>SUMIFS(Grid!$S$2:$S$189,Grid!$A$2:$A$189,$A9,Grid!$D$2:$D$189,"core (Convention A)")</f>
        <v>9</v>
      </c>
      <c r="F9" s="4">
        <f>SUMIFS(Grid!$S$2:$S$189,Grid!$A$2:$A$189,$A9,Grid!$D$2:$D$189,"multi-prefecture")</f>
        <v>2</v>
      </c>
      <c r="G9" s="4">
        <f>SUMIFS(Grid!$S$2:$S$189,Grid!$A$2:$A$189,$A9,Grid!$D$2:$D$189,"excluded enterprise (19%)")</f>
        <v>0</v>
      </c>
      <c r="H9" s="4" t="s">
        <v>24</v>
      </c>
    </row>
    <row r="10" spans="1:8" x14ac:dyDescent="0.45">
      <c r="A10" s="3" t="s">
        <v>25</v>
      </c>
      <c r="B10" s="4" t="s">
        <v>26</v>
      </c>
      <c r="C10" s="4">
        <f>SUMIFS(Grid!$R$2:$R$189,Grid!$A$2:$A$189,$A10)</f>
        <v>9</v>
      </c>
      <c r="D10" s="4">
        <f>SUMIFS(Grid!$S$2:$S$189,Grid!$A$2:$A$189,$A10)</f>
        <v>11</v>
      </c>
      <c r="E10" s="4">
        <f>SUMIFS(Grid!$S$2:$S$189,Grid!$A$2:$A$189,$A10,Grid!$D$2:$D$189,"core (Convention A)")</f>
        <v>9</v>
      </c>
      <c r="F10" s="4">
        <f>SUMIFS(Grid!$S$2:$S$189,Grid!$A$2:$A$189,$A10,Grid!$D$2:$D$189,"multi-prefecture")</f>
        <v>2</v>
      </c>
      <c r="G10" s="4">
        <f>SUMIFS(Grid!$S$2:$S$189,Grid!$A$2:$A$189,$A10,Grid!$D$2:$D$189,"excluded enterprise (19%)")</f>
        <v>0</v>
      </c>
      <c r="H10" s="4" t="s">
        <v>27</v>
      </c>
    </row>
    <row r="11" spans="1:8" x14ac:dyDescent="0.45">
      <c r="A11" s="3" t="s">
        <v>28</v>
      </c>
      <c r="B11" s="4" t="s">
        <v>29</v>
      </c>
      <c r="C11" s="4">
        <f>SUMIFS(Grid!$R$2:$R$189,Grid!$A$2:$A$189,$A11)</f>
        <v>9</v>
      </c>
      <c r="D11" s="4">
        <f>SUMIFS(Grid!$S$2:$S$189,Grid!$A$2:$A$189,$A11)</f>
        <v>14</v>
      </c>
      <c r="E11" s="4">
        <f>SUMIFS(Grid!$S$2:$S$189,Grid!$A$2:$A$189,$A11,Grid!$D$2:$D$189,"core (Convention A)")</f>
        <v>9</v>
      </c>
      <c r="F11" s="4">
        <f>SUMIFS(Grid!$S$2:$S$189,Grid!$A$2:$A$189,$A11,Grid!$D$2:$D$189,"multi-prefecture")</f>
        <v>2</v>
      </c>
      <c r="G11" s="4">
        <f>SUMIFS(Grid!$S$2:$S$189,Grid!$A$2:$A$189,$A11,Grid!$D$2:$D$189,"excluded enterprise (19%)")</f>
        <v>3</v>
      </c>
      <c r="H11" s="4" t="s">
        <v>30</v>
      </c>
    </row>
    <row r="12" spans="1:8" ht="26.25" x14ac:dyDescent="0.45">
      <c r="A12" s="3" t="s">
        <v>31</v>
      </c>
      <c r="B12" s="4" t="s">
        <v>32</v>
      </c>
      <c r="C12" s="4">
        <f>SUMIFS(Grid!$R$2:$R$189,Grid!$A$2:$A$189,$A12)</f>
        <v>9</v>
      </c>
      <c r="D12" s="4">
        <f>SUMIFS(Grid!$S$2:$S$189,Grid!$A$2:$A$189,$A12)</f>
        <v>14</v>
      </c>
      <c r="E12" s="4">
        <f>SUMIFS(Grid!$S$2:$S$189,Grid!$A$2:$A$189,$A12,Grid!$D$2:$D$189,"core (Convention A)")</f>
        <v>9</v>
      </c>
      <c r="F12" s="4">
        <f>SUMIFS(Grid!$S$2:$S$189,Grid!$A$2:$A$189,$A12,Grid!$D$2:$D$189,"multi-prefecture")</f>
        <v>2</v>
      </c>
      <c r="G12" s="4">
        <f>SUMIFS(Grid!$S$2:$S$189,Grid!$A$2:$A$189,$A12,Grid!$D$2:$D$189,"excluded enterprise (19%)")</f>
        <v>3</v>
      </c>
      <c r="H12" s="4" t="s">
        <v>33</v>
      </c>
    </row>
    <row r="13" spans="1:8" x14ac:dyDescent="0.45">
      <c r="A13" s="3" t="s">
        <v>34</v>
      </c>
      <c r="B13" s="4" t="s">
        <v>35</v>
      </c>
      <c r="C13" s="4">
        <f>SUMIFS(Grid!$R$2:$R$189,Grid!$A$2:$A$189,$A13)</f>
        <v>9</v>
      </c>
      <c r="D13" s="4">
        <f>SUMIFS(Grid!$S$2:$S$189,Grid!$A$2:$A$189,$A13)</f>
        <v>14</v>
      </c>
      <c r="E13" s="4">
        <f>SUMIFS(Grid!$S$2:$S$189,Grid!$A$2:$A$189,$A13,Grid!$D$2:$D$189,"core (Convention A)")</f>
        <v>9</v>
      </c>
      <c r="F13" s="4">
        <f>SUMIFS(Grid!$S$2:$S$189,Grid!$A$2:$A$189,$A13,Grid!$D$2:$D$189,"multi-prefecture")</f>
        <v>2</v>
      </c>
      <c r="G13" s="4">
        <f>SUMIFS(Grid!$S$2:$S$189,Grid!$A$2:$A$189,$A13,Grid!$D$2:$D$189,"excluded enterprise (19%)")</f>
        <v>3</v>
      </c>
      <c r="H13" s="4" t="s">
        <v>24</v>
      </c>
    </row>
    <row r="14" spans="1:8" x14ac:dyDescent="0.45">
      <c r="A14" s="3" t="s">
        <v>36</v>
      </c>
      <c r="B14" s="4" t="s">
        <v>37</v>
      </c>
      <c r="C14" s="4">
        <f>SUMIFS(Grid!$R$2:$R$189,Grid!$A$2:$A$189,$A14)</f>
        <v>9</v>
      </c>
      <c r="D14" s="4">
        <f>SUMIFS(Grid!$S$2:$S$189,Grid!$A$2:$A$189,$A14)</f>
        <v>14</v>
      </c>
      <c r="E14" s="4">
        <f>SUMIFS(Grid!$S$2:$S$189,Grid!$A$2:$A$189,$A14,Grid!$D$2:$D$189,"core (Convention A)")</f>
        <v>9</v>
      </c>
      <c r="F14" s="4">
        <f>SUMIFS(Grid!$S$2:$S$189,Grid!$A$2:$A$189,$A14,Grid!$D$2:$D$189,"multi-prefecture")</f>
        <v>2</v>
      </c>
      <c r="G14" s="4">
        <f>SUMIFS(Grid!$S$2:$S$189,Grid!$A$2:$A$189,$A14,Grid!$D$2:$D$189,"excluded enterprise (19%)")</f>
        <v>3</v>
      </c>
      <c r="H14" s="4" t="s">
        <v>24</v>
      </c>
    </row>
    <row r="15" spans="1:8" ht="26.25" x14ac:dyDescent="0.45">
      <c r="A15" s="3" t="s">
        <v>38</v>
      </c>
      <c r="B15" s="4" t="s">
        <v>39</v>
      </c>
      <c r="C15" s="4">
        <f>SUMIFS(Grid!$R$2:$R$189,Grid!$A$2:$A$189,$A15)</f>
        <v>7</v>
      </c>
      <c r="D15" s="4">
        <f>SUMIFS(Grid!$S$2:$S$189,Grid!$A$2:$A$189,$A15)</f>
        <v>12</v>
      </c>
      <c r="E15" s="4">
        <f>SUMIFS(Grid!$S$2:$S$189,Grid!$A$2:$A$189,$A15,Grid!$D$2:$D$189,"core (Convention A)")</f>
        <v>7</v>
      </c>
      <c r="F15" s="4">
        <f>SUMIFS(Grid!$S$2:$S$189,Grid!$A$2:$A$189,$A15,Grid!$D$2:$D$189,"multi-prefecture")</f>
        <v>2</v>
      </c>
      <c r="G15" s="4">
        <f>SUMIFS(Grid!$S$2:$S$189,Grid!$A$2:$A$189,$A15,Grid!$D$2:$D$189,"excluded enterprise (19%)")</f>
        <v>3</v>
      </c>
      <c r="H15" s="4" t="s">
        <v>40</v>
      </c>
    </row>
    <row r="16" spans="1:8" x14ac:dyDescent="0.45">
      <c r="A16" s="3" t="s">
        <v>41</v>
      </c>
      <c r="B16" s="4" t="s">
        <v>42</v>
      </c>
      <c r="C16" s="4">
        <f>SUMIFS(Grid!$R$2:$R$189,Grid!$A$2:$A$189,$A16)</f>
        <v>7</v>
      </c>
      <c r="D16" s="4">
        <f>SUMIFS(Grid!$S$2:$S$189,Grid!$A$2:$A$189,$A16)</f>
        <v>12</v>
      </c>
      <c r="E16" s="4">
        <f>SUMIFS(Grid!$S$2:$S$189,Grid!$A$2:$A$189,$A16,Grid!$D$2:$D$189,"core (Convention A)")</f>
        <v>7</v>
      </c>
      <c r="F16" s="4">
        <f>SUMIFS(Grid!$S$2:$S$189,Grid!$A$2:$A$189,$A16,Grid!$D$2:$D$189,"multi-prefecture")</f>
        <v>2</v>
      </c>
      <c r="G16" s="4">
        <f>SUMIFS(Grid!$S$2:$S$189,Grid!$A$2:$A$189,$A16,Grid!$D$2:$D$189,"excluded enterprise (19%)")</f>
        <v>3</v>
      </c>
      <c r="H16" s="4" t="s">
        <v>24</v>
      </c>
    </row>
    <row r="17" spans="1:8" x14ac:dyDescent="0.45">
      <c r="A17" s="3" t="s">
        <v>43</v>
      </c>
      <c r="B17" s="4" t="s">
        <v>44</v>
      </c>
      <c r="C17" s="4">
        <f>SUMIFS(Grid!$R$2:$R$189,Grid!$A$2:$A$189,$A17)</f>
        <v>7</v>
      </c>
      <c r="D17" s="4">
        <f>SUMIFS(Grid!$S$2:$S$189,Grid!$A$2:$A$189,$A17)</f>
        <v>12</v>
      </c>
      <c r="E17" s="4">
        <f>SUMIFS(Grid!$S$2:$S$189,Grid!$A$2:$A$189,$A17,Grid!$D$2:$D$189,"core (Convention A)")</f>
        <v>7</v>
      </c>
      <c r="F17" s="4">
        <f>SUMIFS(Grid!$S$2:$S$189,Grid!$A$2:$A$189,$A17,Grid!$D$2:$D$189,"multi-prefecture")</f>
        <v>2</v>
      </c>
      <c r="G17" s="4">
        <f>SUMIFS(Grid!$S$2:$S$189,Grid!$A$2:$A$189,$A17,Grid!$D$2:$D$189,"excluded enterprise (19%)")</f>
        <v>3</v>
      </c>
      <c r="H17" s="4" t="s">
        <v>45</v>
      </c>
    </row>
    <row r="18" spans="1:8" x14ac:dyDescent="0.45">
      <c r="A18" s="3" t="s">
        <v>46</v>
      </c>
      <c r="B18" s="4" t="s">
        <v>47</v>
      </c>
      <c r="C18" s="4">
        <f>SUMIFS(Grid!$R$2:$R$189,Grid!$A$2:$A$189,$A18)</f>
        <v>9</v>
      </c>
      <c r="D18" s="4">
        <f>SUMIFS(Grid!$S$2:$S$189,Grid!$A$2:$A$189,$A18)</f>
        <v>15</v>
      </c>
      <c r="E18" s="4">
        <f>SUMIFS(Grid!$S$2:$S$189,Grid!$A$2:$A$189,$A18,Grid!$D$2:$D$189,"core (Convention A)")</f>
        <v>9</v>
      </c>
      <c r="F18" s="4">
        <f>SUMIFS(Grid!$S$2:$S$189,Grid!$A$2:$A$189,$A18,Grid!$D$2:$D$189,"multi-prefecture")</f>
        <v>3</v>
      </c>
      <c r="G18" s="4">
        <f>SUMIFS(Grid!$S$2:$S$189,Grid!$A$2:$A$189,$A18,Grid!$D$2:$D$189,"excluded enterprise (19%)")</f>
        <v>3</v>
      </c>
      <c r="H18" s="4" t="s">
        <v>48</v>
      </c>
    </row>
    <row r="19" spans="1:8" x14ac:dyDescent="0.45">
      <c r="A19" s="3" t="s">
        <v>49</v>
      </c>
      <c r="B19" s="4" t="s">
        <v>50</v>
      </c>
      <c r="C19" s="4">
        <f>SUMIFS(Grid!$R$2:$R$189,Grid!$A$2:$A$189,$A19)</f>
        <v>9</v>
      </c>
      <c r="D19" s="4">
        <f>SUMIFS(Grid!$S$2:$S$189,Grid!$A$2:$A$189,$A19)</f>
        <v>15</v>
      </c>
      <c r="E19" s="4">
        <f>SUMIFS(Grid!$S$2:$S$189,Grid!$A$2:$A$189,$A19,Grid!$D$2:$D$189,"core (Convention A)")</f>
        <v>9</v>
      </c>
      <c r="F19" s="4">
        <f>SUMIFS(Grid!$S$2:$S$189,Grid!$A$2:$A$189,$A19,Grid!$D$2:$D$189,"multi-prefecture")</f>
        <v>3</v>
      </c>
      <c r="G19" s="4">
        <f>SUMIFS(Grid!$S$2:$S$189,Grid!$A$2:$A$189,$A19,Grid!$D$2:$D$189,"excluded enterprise (19%)")</f>
        <v>3</v>
      </c>
      <c r="H19" s="4" t="s">
        <v>51</v>
      </c>
    </row>
    <row r="20" spans="1:8" x14ac:dyDescent="0.45">
      <c r="A20" s="5"/>
      <c r="B20" s="6" t="s">
        <v>52</v>
      </c>
      <c r="C20" s="6">
        <f>SUM(C5:C19)</f>
        <v>129</v>
      </c>
      <c r="D20" s="6">
        <f>SUM(D5:D19)</f>
        <v>188</v>
      </c>
      <c r="E20" s="6">
        <f>SUM(E5:E19)</f>
        <v>129</v>
      </c>
      <c r="F20" s="6">
        <f>SUM(F5:F19)</f>
        <v>32</v>
      </c>
      <c r="G20" s="6">
        <f>SUM(G5:G19)</f>
        <v>27</v>
      </c>
      <c r="H20" s="5"/>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89"/>
  <sheetViews>
    <sheetView zoomScaleNormal="100" workbookViewId="0">
      <pane xSplit="2" ySplit="1" topLeftCell="C2" activePane="bottomRight" state="frozen"/>
      <selection pane="topRight" activeCell="C1" sqref="C1"/>
      <selection pane="bottomLeft" activeCell="A2" sqref="A2"/>
      <selection pane="bottomRight" activeCell="D11" sqref="D11"/>
    </sheetView>
  </sheetViews>
  <sheetFormatPr defaultColWidth="8.6640625" defaultRowHeight="14.25" x14ac:dyDescent="0.45"/>
  <cols>
    <col min="1" max="1" width="9" customWidth="1"/>
    <col min="2" max="2" width="30" customWidth="1"/>
    <col min="3" max="3" width="7" customWidth="1"/>
    <col min="4" max="4" width="22" customWidth="1"/>
    <col min="5" max="5" width="13" customWidth="1"/>
    <col min="6" max="6" width="26" customWidth="1"/>
    <col min="7" max="7" width="13" customWidth="1"/>
    <col min="8" max="8" width="20" customWidth="1"/>
    <col min="9" max="9" width="10" customWidth="1"/>
    <col min="10" max="10" width="11" customWidth="1"/>
    <col min="11" max="11" width="12" customWidth="1"/>
    <col min="12" max="12" width="15" customWidth="1"/>
    <col min="13" max="13" width="11" customWidth="1"/>
    <col min="14" max="14" width="12" customWidth="1"/>
    <col min="15" max="15" width="11" customWidth="1"/>
    <col min="16" max="16" width="14" customWidth="1"/>
    <col min="17" max="17" width="13" customWidth="1"/>
    <col min="18" max="19" width="9" customWidth="1"/>
    <col min="20" max="20" width="78" customWidth="1"/>
  </cols>
  <sheetData>
    <row r="1" spans="1:20" ht="57.75" customHeight="1" x14ac:dyDescent="0.45">
      <c r="A1" s="11" t="s">
        <v>2</v>
      </c>
      <c r="B1" s="11" t="s">
        <v>3</v>
      </c>
      <c r="C1" s="11" t="s">
        <v>53</v>
      </c>
      <c r="D1" s="11" t="s">
        <v>54</v>
      </c>
      <c r="E1" s="11" t="s">
        <v>55</v>
      </c>
      <c r="F1" s="11" t="s">
        <v>56</v>
      </c>
      <c r="G1" s="11" t="s">
        <v>57</v>
      </c>
      <c r="H1" s="11" t="s">
        <v>58</v>
      </c>
      <c r="I1" s="11" t="s">
        <v>59</v>
      </c>
      <c r="J1" s="11" t="s">
        <v>60</v>
      </c>
      <c r="K1" s="11" t="s">
        <v>61</v>
      </c>
      <c r="L1" s="11" t="s">
        <v>62</v>
      </c>
      <c r="M1" s="11" t="s">
        <v>63</v>
      </c>
      <c r="N1" s="11" t="s">
        <v>64</v>
      </c>
      <c r="O1" s="11" t="s">
        <v>65</v>
      </c>
      <c r="P1" s="11" t="s">
        <v>66</v>
      </c>
      <c r="Q1" s="11" t="s">
        <v>67</v>
      </c>
      <c r="R1" s="11" t="s">
        <v>68</v>
      </c>
      <c r="S1" s="11" t="s">
        <v>69</v>
      </c>
      <c r="T1" s="11" t="s">
        <v>70</v>
      </c>
    </row>
    <row r="2" spans="1:20" x14ac:dyDescent="0.45">
      <c r="A2" s="8" t="s">
        <v>10</v>
      </c>
      <c r="B2" s="8" t="s">
        <v>11</v>
      </c>
      <c r="C2" s="8" t="s">
        <v>71</v>
      </c>
      <c r="D2" s="8" t="s">
        <v>72</v>
      </c>
      <c r="E2" s="8" t="s">
        <v>73</v>
      </c>
      <c r="F2" s="8" t="s">
        <v>74</v>
      </c>
      <c r="G2" s="8" t="s">
        <v>75</v>
      </c>
      <c r="H2" s="8" t="s">
        <v>76</v>
      </c>
      <c r="I2" s="9">
        <v>15</v>
      </c>
      <c r="J2" s="9">
        <v>2.7</v>
      </c>
      <c r="K2" s="9">
        <v>2.7</v>
      </c>
      <c r="L2" s="9">
        <v>81</v>
      </c>
      <c r="M2" s="9">
        <v>0</v>
      </c>
      <c r="N2" s="9">
        <v>20.7</v>
      </c>
      <c r="O2" s="9">
        <v>0</v>
      </c>
      <c r="P2" s="9">
        <f t="shared" ref="P2:P33" si="0">I2*(1+M2/100+N2/100+O2/100)+J2+L2/100*K2</f>
        <v>22.992000000000001</v>
      </c>
      <c r="Q2" s="9">
        <f t="shared" ref="Q2:Q33" si="1">P2/(1+J2/100+L2/100*K2/100)</f>
        <v>21.920733742027135</v>
      </c>
      <c r="R2" s="8">
        <v>1</v>
      </c>
      <c r="S2" s="8">
        <v>1</v>
      </c>
      <c r="T2" s="10" t="s">
        <v>77</v>
      </c>
    </row>
    <row r="3" spans="1:20" x14ac:dyDescent="0.45">
      <c r="A3" s="8" t="s">
        <v>10</v>
      </c>
      <c r="B3" s="8" t="s">
        <v>11</v>
      </c>
      <c r="C3" s="8" t="s">
        <v>71</v>
      </c>
      <c r="D3" s="8" t="s">
        <v>72</v>
      </c>
      <c r="E3" s="8" t="s">
        <v>73</v>
      </c>
      <c r="F3" s="8" t="s">
        <v>74</v>
      </c>
      <c r="G3" s="8" t="s">
        <v>78</v>
      </c>
      <c r="H3" s="8" t="s">
        <v>76</v>
      </c>
      <c r="I3" s="9">
        <v>15</v>
      </c>
      <c r="J3" s="9">
        <v>2.95</v>
      </c>
      <c r="K3" s="9">
        <v>2.7</v>
      </c>
      <c r="L3" s="9">
        <v>81</v>
      </c>
      <c r="M3" s="9">
        <v>0</v>
      </c>
      <c r="N3" s="9">
        <v>20.7</v>
      </c>
      <c r="O3" s="9">
        <v>0</v>
      </c>
      <c r="P3" s="9">
        <f t="shared" si="0"/>
        <v>23.242000000000001</v>
      </c>
      <c r="Q3" s="9">
        <f t="shared" si="1"/>
        <v>22.106394513824817</v>
      </c>
      <c r="R3" s="8">
        <v>1</v>
      </c>
      <c r="S3" s="8">
        <v>1</v>
      </c>
      <c r="T3" s="10" t="s">
        <v>79</v>
      </c>
    </row>
    <row r="4" spans="1:20" x14ac:dyDescent="0.45">
      <c r="A4" s="8" t="s">
        <v>10</v>
      </c>
      <c r="B4" s="8" t="s">
        <v>11</v>
      </c>
      <c r="C4" s="8" t="s">
        <v>71</v>
      </c>
      <c r="D4" s="8" t="s">
        <v>72</v>
      </c>
      <c r="E4" s="8" t="s">
        <v>73</v>
      </c>
      <c r="F4" s="8" t="s">
        <v>80</v>
      </c>
      <c r="G4" s="8" t="s">
        <v>75</v>
      </c>
      <c r="H4" s="8" t="s">
        <v>76</v>
      </c>
      <c r="I4" s="9">
        <v>15</v>
      </c>
      <c r="J4" s="9">
        <v>4</v>
      </c>
      <c r="K4" s="9">
        <v>4</v>
      </c>
      <c r="L4" s="9">
        <v>81</v>
      </c>
      <c r="M4" s="9">
        <v>0</v>
      </c>
      <c r="N4" s="9">
        <v>20.7</v>
      </c>
      <c r="O4" s="9">
        <v>0</v>
      </c>
      <c r="P4" s="9">
        <f t="shared" si="0"/>
        <v>25.344999999999999</v>
      </c>
      <c r="Q4" s="9">
        <f t="shared" si="1"/>
        <v>23.633905259231629</v>
      </c>
      <c r="R4" s="8">
        <v>1</v>
      </c>
      <c r="S4" s="8">
        <v>1</v>
      </c>
      <c r="T4" s="10" t="s">
        <v>77</v>
      </c>
    </row>
    <row r="5" spans="1:20" x14ac:dyDescent="0.45">
      <c r="A5" s="8" t="s">
        <v>10</v>
      </c>
      <c r="B5" s="8" t="s">
        <v>11</v>
      </c>
      <c r="C5" s="8" t="s">
        <v>71</v>
      </c>
      <c r="D5" s="8" t="s">
        <v>72</v>
      </c>
      <c r="E5" s="8" t="s">
        <v>73</v>
      </c>
      <c r="F5" s="8" t="s">
        <v>80</v>
      </c>
      <c r="G5" s="8" t="s">
        <v>78</v>
      </c>
      <c r="H5" s="8" t="s">
        <v>76</v>
      </c>
      <c r="I5" s="9">
        <v>15</v>
      </c>
      <c r="J5" s="9">
        <v>4.3650000000000002</v>
      </c>
      <c r="K5" s="9">
        <v>4</v>
      </c>
      <c r="L5" s="9">
        <v>81</v>
      </c>
      <c r="M5" s="9">
        <v>0</v>
      </c>
      <c r="N5" s="9">
        <v>20.7</v>
      </c>
      <c r="O5" s="9">
        <v>0</v>
      </c>
      <c r="P5" s="9">
        <f t="shared" si="0"/>
        <v>25.71</v>
      </c>
      <c r="Q5" s="9">
        <f t="shared" si="1"/>
        <v>23.892941777798431</v>
      </c>
      <c r="R5" s="8">
        <v>1</v>
      </c>
      <c r="S5" s="8">
        <v>1</v>
      </c>
      <c r="T5" s="10" t="s">
        <v>79</v>
      </c>
    </row>
    <row r="6" spans="1:20" x14ac:dyDescent="0.45">
      <c r="A6" s="8" t="s">
        <v>10</v>
      </c>
      <c r="B6" s="8" t="s">
        <v>11</v>
      </c>
      <c r="C6" s="8" t="s">
        <v>71</v>
      </c>
      <c r="D6" s="8" t="s">
        <v>72</v>
      </c>
      <c r="E6" s="8" t="s">
        <v>73</v>
      </c>
      <c r="F6" s="8" t="s">
        <v>81</v>
      </c>
      <c r="G6" s="8" t="s">
        <v>75</v>
      </c>
      <c r="H6" s="8" t="s">
        <v>82</v>
      </c>
      <c r="I6" s="9">
        <v>25.5</v>
      </c>
      <c r="J6" s="9">
        <v>5.3</v>
      </c>
      <c r="K6" s="9">
        <v>5.3</v>
      </c>
      <c r="L6" s="9">
        <v>81</v>
      </c>
      <c r="M6" s="9">
        <v>0</v>
      </c>
      <c r="N6" s="9">
        <v>20.7</v>
      </c>
      <c r="O6" s="9">
        <v>0</v>
      </c>
      <c r="P6" s="9">
        <f t="shared" si="0"/>
        <v>40.371499999999997</v>
      </c>
      <c r="Q6" s="9">
        <f t="shared" si="1"/>
        <v>36.837662989424508</v>
      </c>
      <c r="R6" s="8">
        <v>1</v>
      </c>
      <c r="S6" s="8">
        <v>1</v>
      </c>
      <c r="T6" s="10" t="s">
        <v>77</v>
      </c>
    </row>
    <row r="7" spans="1:20" x14ac:dyDescent="0.45">
      <c r="A7" s="8" t="s">
        <v>10</v>
      </c>
      <c r="B7" s="8" t="s">
        <v>11</v>
      </c>
      <c r="C7" s="8" t="s">
        <v>71</v>
      </c>
      <c r="D7" s="8" t="s">
        <v>72</v>
      </c>
      <c r="E7" s="8" t="s">
        <v>73</v>
      </c>
      <c r="F7" s="8" t="s">
        <v>81</v>
      </c>
      <c r="G7" s="8" t="s">
        <v>78</v>
      </c>
      <c r="H7" s="8" t="s">
        <v>82</v>
      </c>
      <c r="I7" s="9">
        <v>25.5</v>
      </c>
      <c r="J7" s="9">
        <v>5.78</v>
      </c>
      <c r="K7" s="9">
        <v>5.3</v>
      </c>
      <c r="L7" s="9">
        <v>81</v>
      </c>
      <c r="M7" s="9">
        <v>0</v>
      </c>
      <c r="N7" s="9">
        <v>20.7</v>
      </c>
      <c r="O7" s="9">
        <v>0</v>
      </c>
      <c r="P7" s="9">
        <f t="shared" si="0"/>
        <v>40.851500000000001</v>
      </c>
      <c r="Q7" s="9">
        <f t="shared" si="1"/>
        <v>37.113097671545248</v>
      </c>
      <c r="R7" s="8">
        <v>1</v>
      </c>
      <c r="S7" s="8">
        <v>1</v>
      </c>
      <c r="T7" s="10" t="s">
        <v>79</v>
      </c>
    </row>
    <row r="8" spans="1:20" x14ac:dyDescent="0.45">
      <c r="A8" s="8" t="s">
        <v>10</v>
      </c>
      <c r="B8" s="8" t="s">
        <v>11</v>
      </c>
      <c r="C8" s="8" t="s">
        <v>71</v>
      </c>
      <c r="D8" s="8" t="s">
        <v>72</v>
      </c>
      <c r="E8" s="8" t="s">
        <v>83</v>
      </c>
      <c r="F8" s="8" t="s">
        <v>74</v>
      </c>
      <c r="G8" s="8" t="s">
        <v>78</v>
      </c>
      <c r="H8" s="8" t="s">
        <v>82</v>
      </c>
      <c r="I8" s="9">
        <v>25.5</v>
      </c>
      <c r="J8" s="9">
        <v>1.69</v>
      </c>
      <c r="K8" s="9">
        <v>1.5</v>
      </c>
      <c r="L8" s="9">
        <v>148</v>
      </c>
      <c r="M8" s="9">
        <v>0</v>
      </c>
      <c r="N8" s="9">
        <v>20.7</v>
      </c>
      <c r="O8" s="9">
        <v>0</v>
      </c>
      <c r="P8" s="9">
        <f t="shared" si="0"/>
        <v>34.688499999999998</v>
      </c>
      <c r="Q8" s="9">
        <f t="shared" si="1"/>
        <v>33.383216244827253</v>
      </c>
      <c r="R8" s="8">
        <v>1</v>
      </c>
      <c r="S8" s="8">
        <v>1</v>
      </c>
      <c r="T8" s="10" t="s">
        <v>84</v>
      </c>
    </row>
    <row r="9" spans="1:20" x14ac:dyDescent="0.45">
      <c r="A9" s="8" t="s">
        <v>10</v>
      </c>
      <c r="B9" s="8" t="s">
        <v>11</v>
      </c>
      <c r="C9" s="8" t="s">
        <v>71</v>
      </c>
      <c r="D9" s="8" t="s">
        <v>72</v>
      </c>
      <c r="E9" s="8" t="s">
        <v>83</v>
      </c>
      <c r="F9" s="8" t="s">
        <v>80</v>
      </c>
      <c r="G9" s="8" t="s">
        <v>78</v>
      </c>
      <c r="H9" s="8" t="s">
        <v>82</v>
      </c>
      <c r="I9" s="9">
        <v>25.5</v>
      </c>
      <c r="J9" s="9">
        <v>2.4750000000000001</v>
      </c>
      <c r="K9" s="9">
        <v>2.2000000000000002</v>
      </c>
      <c r="L9" s="9">
        <v>148</v>
      </c>
      <c r="M9" s="9">
        <v>0</v>
      </c>
      <c r="N9" s="9">
        <v>20.7</v>
      </c>
      <c r="O9" s="9">
        <v>0</v>
      </c>
      <c r="P9" s="9">
        <f t="shared" si="0"/>
        <v>36.509500000000003</v>
      </c>
      <c r="Q9" s="9">
        <f t="shared" si="1"/>
        <v>34.53055395295609</v>
      </c>
      <c r="R9" s="8">
        <v>1</v>
      </c>
      <c r="S9" s="8">
        <v>1</v>
      </c>
      <c r="T9" s="10" t="s">
        <v>84</v>
      </c>
    </row>
    <row r="10" spans="1:20" x14ac:dyDescent="0.45">
      <c r="A10" s="8" t="s">
        <v>10</v>
      </c>
      <c r="B10" s="8" t="s">
        <v>11</v>
      </c>
      <c r="C10" s="8" t="s">
        <v>71</v>
      </c>
      <c r="D10" s="8" t="s">
        <v>72</v>
      </c>
      <c r="E10" s="8" t="s">
        <v>83</v>
      </c>
      <c r="F10" s="8" t="s">
        <v>81</v>
      </c>
      <c r="G10" s="8" t="s">
        <v>78</v>
      </c>
      <c r="H10" s="8" t="s">
        <v>82</v>
      </c>
      <c r="I10" s="9">
        <v>25.5</v>
      </c>
      <c r="J10" s="9">
        <v>3.26</v>
      </c>
      <c r="K10" s="9">
        <v>2.9</v>
      </c>
      <c r="L10" s="9">
        <v>148</v>
      </c>
      <c r="M10" s="9">
        <v>0</v>
      </c>
      <c r="N10" s="9">
        <v>20.7</v>
      </c>
      <c r="O10" s="9">
        <v>0</v>
      </c>
      <c r="P10" s="9">
        <f t="shared" si="0"/>
        <v>38.330500000000001</v>
      </c>
      <c r="Q10" s="9">
        <f t="shared" si="1"/>
        <v>35.639039720321335</v>
      </c>
      <c r="R10" s="8">
        <v>1</v>
      </c>
      <c r="S10" s="8">
        <v>1</v>
      </c>
      <c r="T10" s="10" t="s">
        <v>84</v>
      </c>
    </row>
    <row r="11" spans="1:20" ht="26.25" x14ac:dyDescent="0.45">
      <c r="A11" s="8" t="s">
        <v>10</v>
      </c>
      <c r="B11" s="8" t="s">
        <v>11</v>
      </c>
      <c r="C11" s="8" t="s">
        <v>85</v>
      </c>
      <c r="D11" s="8" t="s">
        <v>86</v>
      </c>
      <c r="E11" s="8" t="s">
        <v>73</v>
      </c>
      <c r="F11" s="8" t="s">
        <v>87</v>
      </c>
      <c r="G11" s="8" t="s">
        <v>75</v>
      </c>
      <c r="H11" s="8" t="s">
        <v>88</v>
      </c>
      <c r="I11" s="9">
        <v>15</v>
      </c>
      <c r="J11" s="9">
        <v>5.3</v>
      </c>
      <c r="K11" s="9">
        <v>5.3</v>
      </c>
      <c r="L11" s="9">
        <v>81</v>
      </c>
      <c r="M11" s="9">
        <v>0</v>
      </c>
      <c r="N11" s="9">
        <v>20.7</v>
      </c>
      <c r="O11" s="9">
        <v>0</v>
      </c>
      <c r="P11" s="9">
        <f t="shared" si="0"/>
        <v>27.698</v>
      </c>
      <c r="Q11" s="9">
        <f t="shared" si="1"/>
        <v>25.273511994379206</v>
      </c>
      <c r="R11" s="8">
        <v>0</v>
      </c>
      <c r="S11" s="8">
        <v>1</v>
      </c>
      <c r="T11" s="10" t="s">
        <v>89</v>
      </c>
    </row>
    <row r="12" spans="1:20" ht="26.25" x14ac:dyDescent="0.45">
      <c r="A12" s="8" t="s">
        <v>10</v>
      </c>
      <c r="B12" s="8" t="s">
        <v>11</v>
      </c>
      <c r="C12" s="8" t="s">
        <v>85</v>
      </c>
      <c r="D12" s="8" t="s">
        <v>86</v>
      </c>
      <c r="E12" s="8" t="s">
        <v>73</v>
      </c>
      <c r="F12" s="8" t="s">
        <v>87</v>
      </c>
      <c r="G12" s="8" t="s">
        <v>78</v>
      </c>
      <c r="H12" s="8" t="s">
        <v>88</v>
      </c>
      <c r="I12" s="9">
        <v>15</v>
      </c>
      <c r="J12" s="9">
        <v>5.78</v>
      </c>
      <c r="K12" s="9">
        <v>5.3</v>
      </c>
      <c r="L12" s="9">
        <v>81</v>
      </c>
      <c r="M12" s="9">
        <v>0</v>
      </c>
      <c r="N12" s="9">
        <v>20.7</v>
      </c>
      <c r="O12" s="9">
        <v>0</v>
      </c>
      <c r="P12" s="9">
        <f t="shared" si="0"/>
        <v>28.178000000000001</v>
      </c>
      <c r="Q12" s="9">
        <f t="shared" si="1"/>
        <v>25.599374960253652</v>
      </c>
      <c r="R12" s="8">
        <v>0</v>
      </c>
      <c r="S12" s="8">
        <v>1</v>
      </c>
      <c r="T12" s="10" t="s">
        <v>89</v>
      </c>
    </row>
    <row r="13" spans="1:20" x14ac:dyDescent="0.45">
      <c r="A13" s="8" t="s">
        <v>13</v>
      </c>
      <c r="B13" s="8" t="s">
        <v>14</v>
      </c>
      <c r="C13" s="8" t="s">
        <v>71</v>
      </c>
      <c r="D13" s="8" t="s">
        <v>72</v>
      </c>
      <c r="E13" s="8" t="s">
        <v>73</v>
      </c>
      <c r="F13" s="8" t="s">
        <v>74</v>
      </c>
      <c r="G13" s="8" t="s">
        <v>75</v>
      </c>
      <c r="H13" s="8" t="s">
        <v>76</v>
      </c>
      <c r="I13" s="9">
        <v>15</v>
      </c>
      <c r="J13" s="9">
        <v>3.4</v>
      </c>
      <c r="K13" s="9">
        <v>3.4</v>
      </c>
      <c r="L13" s="9">
        <v>43.2</v>
      </c>
      <c r="M13" s="9">
        <v>4.4000000000000004</v>
      </c>
      <c r="N13" s="9">
        <v>16.3</v>
      </c>
      <c r="O13" s="9">
        <v>0</v>
      </c>
      <c r="P13" s="9">
        <f t="shared" si="0"/>
        <v>22.973800000000001</v>
      </c>
      <c r="Q13" s="9">
        <f t="shared" si="1"/>
        <v>21.907183070655904</v>
      </c>
      <c r="R13" s="8">
        <v>1</v>
      </c>
      <c r="S13" s="8">
        <v>1</v>
      </c>
      <c r="T13" s="10" t="s">
        <v>77</v>
      </c>
    </row>
    <row r="14" spans="1:20" x14ac:dyDescent="0.45">
      <c r="A14" s="8" t="s">
        <v>13</v>
      </c>
      <c r="B14" s="8" t="s">
        <v>14</v>
      </c>
      <c r="C14" s="8" t="s">
        <v>71</v>
      </c>
      <c r="D14" s="8" t="s">
        <v>72</v>
      </c>
      <c r="E14" s="8" t="s">
        <v>73</v>
      </c>
      <c r="F14" s="8" t="s">
        <v>74</v>
      </c>
      <c r="G14" s="8" t="s">
        <v>78</v>
      </c>
      <c r="H14" s="8" t="s">
        <v>76</v>
      </c>
      <c r="I14" s="9">
        <v>15</v>
      </c>
      <c r="J14" s="9">
        <v>3.65</v>
      </c>
      <c r="K14" s="9">
        <v>3.4</v>
      </c>
      <c r="L14" s="9">
        <v>43.2</v>
      </c>
      <c r="M14" s="9">
        <v>4.4000000000000004</v>
      </c>
      <c r="N14" s="9">
        <v>16.3</v>
      </c>
      <c r="O14" s="9">
        <v>0</v>
      </c>
      <c r="P14" s="9">
        <f t="shared" si="0"/>
        <v>23.223800000000001</v>
      </c>
      <c r="Q14" s="9">
        <f t="shared" si="1"/>
        <v>22.092908214325124</v>
      </c>
      <c r="R14" s="8">
        <v>1</v>
      </c>
      <c r="S14" s="8">
        <v>1</v>
      </c>
      <c r="T14" s="10" t="s">
        <v>79</v>
      </c>
    </row>
    <row r="15" spans="1:20" x14ac:dyDescent="0.45">
      <c r="A15" s="8" t="s">
        <v>13</v>
      </c>
      <c r="B15" s="8" t="s">
        <v>14</v>
      </c>
      <c r="C15" s="8" t="s">
        <v>71</v>
      </c>
      <c r="D15" s="8" t="s">
        <v>72</v>
      </c>
      <c r="E15" s="8" t="s">
        <v>73</v>
      </c>
      <c r="F15" s="8" t="s">
        <v>80</v>
      </c>
      <c r="G15" s="8" t="s">
        <v>75</v>
      </c>
      <c r="H15" s="8" t="s">
        <v>76</v>
      </c>
      <c r="I15" s="9">
        <v>15</v>
      </c>
      <c r="J15" s="9">
        <v>5.0999999999999996</v>
      </c>
      <c r="K15" s="9">
        <v>5.0999999999999996</v>
      </c>
      <c r="L15" s="9">
        <v>43.2</v>
      </c>
      <c r="M15" s="9">
        <v>4.4000000000000004</v>
      </c>
      <c r="N15" s="9">
        <v>16.3</v>
      </c>
      <c r="O15" s="9">
        <v>0</v>
      </c>
      <c r="P15" s="9">
        <f t="shared" si="0"/>
        <v>25.408199999999997</v>
      </c>
      <c r="Q15" s="9">
        <f t="shared" si="1"/>
        <v>23.678883761155305</v>
      </c>
      <c r="R15" s="8">
        <v>1</v>
      </c>
      <c r="S15" s="8">
        <v>1</v>
      </c>
      <c r="T15" s="10" t="s">
        <v>77</v>
      </c>
    </row>
    <row r="16" spans="1:20" x14ac:dyDescent="0.45">
      <c r="A16" s="8" t="s">
        <v>13</v>
      </c>
      <c r="B16" s="8" t="s">
        <v>14</v>
      </c>
      <c r="C16" s="8" t="s">
        <v>71</v>
      </c>
      <c r="D16" s="8" t="s">
        <v>72</v>
      </c>
      <c r="E16" s="8" t="s">
        <v>73</v>
      </c>
      <c r="F16" s="8" t="s">
        <v>80</v>
      </c>
      <c r="G16" s="8" t="s">
        <v>78</v>
      </c>
      <c r="H16" s="8" t="s">
        <v>76</v>
      </c>
      <c r="I16" s="9">
        <v>15</v>
      </c>
      <c r="J16" s="9">
        <v>5.4649999999999999</v>
      </c>
      <c r="K16" s="9">
        <v>5.0999999999999996</v>
      </c>
      <c r="L16" s="9">
        <v>43.2</v>
      </c>
      <c r="M16" s="9">
        <v>4.4000000000000004</v>
      </c>
      <c r="N16" s="9">
        <v>16.3</v>
      </c>
      <c r="O16" s="9">
        <v>0</v>
      </c>
      <c r="P16" s="9">
        <f t="shared" si="0"/>
        <v>25.773199999999999</v>
      </c>
      <c r="Q16" s="9">
        <f t="shared" si="1"/>
        <v>23.937615749125552</v>
      </c>
      <c r="R16" s="8">
        <v>1</v>
      </c>
      <c r="S16" s="8">
        <v>1</v>
      </c>
      <c r="T16" s="10" t="s">
        <v>79</v>
      </c>
    </row>
    <row r="17" spans="1:20" x14ac:dyDescent="0.45">
      <c r="A17" s="8" t="s">
        <v>13</v>
      </c>
      <c r="B17" s="8" t="s">
        <v>14</v>
      </c>
      <c r="C17" s="8" t="s">
        <v>71</v>
      </c>
      <c r="D17" s="8" t="s">
        <v>72</v>
      </c>
      <c r="E17" s="8" t="s">
        <v>73</v>
      </c>
      <c r="F17" s="8" t="s">
        <v>81</v>
      </c>
      <c r="G17" s="8" t="s">
        <v>75</v>
      </c>
      <c r="H17" s="8" t="s">
        <v>82</v>
      </c>
      <c r="I17" s="9">
        <v>25.5</v>
      </c>
      <c r="J17" s="9">
        <v>6.7</v>
      </c>
      <c r="K17" s="9">
        <v>6.7</v>
      </c>
      <c r="L17" s="9">
        <v>43.2</v>
      </c>
      <c r="M17" s="9">
        <v>4.4000000000000004</v>
      </c>
      <c r="N17" s="9">
        <v>16.3</v>
      </c>
      <c r="O17" s="9">
        <v>0</v>
      </c>
      <c r="P17" s="9">
        <f t="shared" si="0"/>
        <v>40.372900000000001</v>
      </c>
      <c r="Q17" s="9">
        <f t="shared" si="1"/>
        <v>36.838469848824396</v>
      </c>
      <c r="R17" s="8">
        <v>1</v>
      </c>
      <c r="S17" s="8">
        <v>1</v>
      </c>
      <c r="T17" s="10" t="s">
        <v>77</v>
      </c>
    </row>
    <row r="18" spans="1:20" x14ac:dyDescent="0.45">
      <c r="A18" s="8" t="s">
        <v>13</v>
      </c>
      <c r="B18" s="8" t="s">
        <v>14</v>
      </c>
      <c r="C18" s="8" t="s">
        <v>71</v>
      </c>
      <c r="D18" s="8" t="s">
        <v>72</v>
      </c>
      <c r="E18" s="8" t="s">
        <v>73</v>
      </c>
      <c r="F18" s="8" t="s">
        <v>81</v>
      </c>
      <c r="G18" s="8" t="s">
        <v>78</v>
      </c>
      <c r="H18" s="8" t="s">
        <v>82</v>
      </c>
      <c r="I18" s="9">
        <v>25.5</v>
      </c>
      <c r="J18" s="9">
        <v>7.18</v>
      </c>
      <c r="K18" s="9">
        <v>6.7</v>
      </c>
      <c r="L18" s="9">
        <v>43.2</v>
      </c>
      <c r="M18" s="9">
        <v>4.4000000000000004</v>
      </c>
      <c r="N18" s="9">
        <v>16.3</v>
      </c>
      <c r="O18" s="9">
        <v>0</v>
      </c>
      <c r="P18" s="9">
        <f t="shared" si="0"/>
        <v>40.852899999999998</v>
      </c>
      <c r="Q18" s="9">
        <f t="shared" si="1"/>
        <v>37.113897509320964</v>
      </c>
      <c r="R18" s="8">
        <v>1</v>
      </c>
      <c r="S18" s="8">
        <v>1</v>
      </c>
      <c r="T18" s="10" t="s">
        <v>79</v>
      </c>
    </row>
    <row r="19" spans="1:20" x14ac:dyDescent="0.45">
      <c r="A19" s="8" t="s">
        <v>13</v>
      </c>
      <c r="B19" s="8" t="s">
        <v>14</v>
      </c>
      <c r="C19" s="8" t="s">
        <v>71</v>
      </c>
      <c r="D19" s="8" t="s">
        <v>72</v>
      </c>
      <c r="E19" s="8" t="s">
        <v>83</v>
      </c>
      <c r="F19" s="8" t="s">
        <v>74</v>
      </c>
      <c r="G19" s="8" t="s">
        <v>78</v>
      </c>
      <c r="H19" s="8" t="s">
        <v>82</v>
      </c>
      <c r="I19" s="9">
        <v>25.5</v>
      </c>
      <c r="J19" s="9">
        <v>2.39</v>
      </c>
      <c r="K19" s="9">
        <v>2.2000000000000002</v>
      </c>
      <c r="L19" s="9">
        <v>67.400000000000006</v>
      </c>
      <c r="M19" s="9">
        <v>4.4000000000000004</v>
      </c>
      <c r="N19" s="9">
        <v>16.3</v>
      </c>
      <c r="O19" s="9">
        <v>0</v>
      </c>
      <c r="P19" s="9">
        <f t="shared" si="0"/>
        <v>34.651299999999999</v>
      </c>
      <c r="Q19" s="9">
        <f t="shared" si="1"/>
        <v>33.359358754168554</v>
      </c>
      <c r="R19" s="8">
        <v>1</v>
      </c>
      <c r="S19" s="8">
        <v>1</v>
      </c>
      <c r="T19" s="10" t="s">
        <v>84</v>
      </c>
    </row>
    <row r="20" spans="1:20" x14ac:dyDescent="0.45">
      <c r="A20" s="8" t="s">
        <v>13</v>
      </c>
      <c r="B20" s="8" t="s">
        <v>14</v>
      </c>
      <c r="C20" s="8" t="s">
        <v>71</v>
      </c>
      <c r="D20" s="8" t="s">
        <v>72</v>
      </c>
      <c r="E20" s="8" t="s">
        <v>83</v>
      </c>
      <c r="F20" s="8" t="s">
        <v>80</v>
      </c>
      <c r="G20" s="8" t="s">
        <v>78</v>
      </c>
      <c r="H20" s="8" t="s">
        <v>82</v>
      </c>
      <c r="I20" s="9">
        <v>25.5</v>
      </c>
      <c r="J20" s="9">
        <v>3.4750000000000001</v>
      </c>
      <c r="K20" s="9">
        <v>3.2</v>
      </c>
      <c r="L20" s="9">
        <v>67.400000000000006</v>
      </c>
      <c r="M20" s="9">
        <v>4.4000000000000004</v>
      </c>
      <c r="N20" s="9">
        <v>16.3</v>
      </c>
      <c r="O20" s="9">
        <v>0</v>
      </c>
      <c r="P20" s="9">
        <f t="shared" si="0"/>
        <v>36.410299999999999</v>
      </c>
      <c r="Q20" s="9">
        <f t="shared" si="1"/>
        <v>34.469070866916965</v>
      </c>
      <c r="R20" s="8">
        <v>1</v>
      </c>
      <c r="S20" s="8">
        <v>1</v>
      </c>
      <c r="T20" s="10" t="s">
        <v>84</v>
      </c>
    </row>
    <row r="21" spans="1:20" x14ac:dyDescent="0.45">
      <c r="A21" s="8" t="s">
        <v>13</v>
      </c>
      <c r="B21" s="8" t="s">
        <v>14</v>
      </c>
      <c r="C21" s="8" t="s">
        <v>71</v>
      </c>
      <c r="D21" s="8" t="s">
        <v>72</v>
      </c>
      <c r="E21" s="8" t="s">
        <v>83</v>
      </c>
      <c r="F21" s="8" t="s">
        <v>81</v>
      </c>
      <c r="G21" s="8" t="s">
        <v>78</v>
      </c>
      <c r="H21" s="8" t="s">
        <v>82</v>
      </c>
      <c r="I21" s="9">
        <v>25.5</v>
      </c>
      <c r="J21" s="9">
        <v>4.66</v>
      </c>
      <c r="K21" s="9">
        <v>4.3</v>
      </c>
      <c r="L21" s="9">
        <v>67.400000000000006</v>
      </c>
      <c r="M21" s="9">
        <v>4.4000000000000004</v>
      </c>
      <c r="N21" s="9">
        <v>16.3</v>
      </c>
      <c r="O21" s="9">
        <v>0</v>
      </c>
      <c r="P21" s="9">
        <f t="shared" si="0"/>
        <v>38.336700000000008</v>
      </c>
      <c r="Q21" s="9">
        <f t="shared" si="1"/>
        <v>35.6427496927245</v>
      </c>
      <c r="R21" s="8">
        <v>1</v>
      </c>
      <c r="S21" s="8">
        <v>1</v>
      </c>
      <c r="T21" s="10" t="s">
        <v>84</v>
      </c>
    </row>
    <row r="22" spans="1:20" ht="26.25" x14ac:dyDescent="0.45">
      <c r="A22" s="8" t="s">
        <v>13</v>
      </c>
      <c r="B22" s="8" t="s">
        <v>14</v>
      </c>
      <c r="C22" s="8" t="s">
        <v>85</v>
      </c>
      <c r="D22" s="8" t="s">
        <v>86</v>
      </c>
      <c r="E22" s="8" t="s">
        <v>73</v>
      </c>
      <c r="F22" s="8" t="s">
        <v>87</v>
      </c>
      <c r="G22" s="8" t="s">
        <v>75</v>
      </c>
      <c r="H22" s="8" t="s">
        <v>88</v>
      </c>
      <c r="I22" s="9">
        <v>15</v>
      </c>
      <c r="J22" s="9">
        <v>6.7</v>
      </c>
      <c r="K22" s="9">
        <v>6.7</v>
      </c>
      <c r="L22" s="9">
        <v>43.2</v>
      </c>
      <c r="M22" s="9">
        <v>4.4000000000000004</v>
      </c>
      <c r="N22" s="9">
        <v>16.3</v>
      </c>
      <c r="O22" s="9">
        <v>0</v>
      </c>
      <c r="P22" s="9">
        <f t="shared" si="0"/>
        <v>27.699400000000001</v>
      </c>
      <c r="Q22" s="9">
        <f t="shared" si="1"/>
        <v>25.274466578584306</v>
      </c>
      <c r="R22" s="8">
        <v>0</v>
      </c>
      <c r="S22" s="8">
        <v>1</v>
      </c>
      <c r="T22" s="10" t="s">
        <v>89</v>
      </c>
    </row>
    <row r="23" spans="1:20" ht="26.25" x14ac:dyDescent="0.45">
      <c r="A23" s="8" t="s">
        <v>13</v>
      </c>
      <c r="B23" s="8" t="s">
        <v>14</v>
      </c>
      <c r="C23" s="8" t="s">
        <v>85</v>
      </c>
      <c r="D23" s="8" t="s">
        <v>86</v>
      </c>
      <c r="E23" s="8" t="s">
        <v>73</v>
      </c>
      <c r="F23" s="8" t="s">
        <v>87</v>
      </c>
      <c r="G23" s="8" t="s">
        <v>78</v>
      </c>
      <c r="H23" s="8" t="s">
        <v>88</v>
      </c>
      <c r="I23" s="9">
        <v>15</v>
      </c>
      <c r="J23" s="9">
        <v>7.18</v>
      </c>
      <c r="K23" s="9">
        <v>6.7</v>
      </c>
      <c r="L23" s="9">
        <v>43.2</v>
      </c>
      <c r="M23" s="9">
        <v>4.4000000000000004</v>
      </c>
      <c r="N23" s="9">
        <v>16.3</v>
      </c>
      <c r="O23" s="9">
        <v>0</v>
      </c>
      <c r="P23" s="9">
        <f t="shared" si="0"/>
        <v>28.179400000000001</v>
      </c>
      <c r="Q23" s="9">
        <f t="shared" si="1"/>
        <v>25.600321237272244</v>
      </c>
      <c r="R23" s="8">
        <v>0</v>
      </c>
      <c r="S23" s="8">
        <v>1</v>
      </c>
      <c r="T23" s="10" t="s">
        <v>89</v>
      </c>
    </row>
    <row r="24" spans="1:20" x14ac:dyDescent="0.45">
      <c r="A24" s="8" t="s">
        <v>16</v>
      </c>
      <c r="B24" s="8" t="s">
        <v>17</v>
      </c>
      <c r="C24" s="8" t="s">
        <v>71</v>
      </c>
      <c r="D24" s="8" t="s">
        <v>72</v>
      </c>
      <c r="E24" s="8" t="s">
        <v>73</v>
      </c>
      <c r="F24" s="8" t="s">
        <v>74</v>
      </c>
      <c r="G24" s="8" t="s">
        <v>75</v>
      </c>
      <c r="H24" s="8" t="s">
        <v>76</v>
      </c>
      <c r="I24" s="9">
        <v>15</v>
      </c>
      <c r="J24" s="9">
        <v>3.4</v>
      </c>
      <c r="K24" s="9">
        <v>3.4</v>
      </c>
      <c r="L24" s="9">
        <v>43.2</v>
      </c>
      <c r="M24" s="9">
        <v>4.4000000000000004</v>
      </c>
      <c r="N24" s="9">
        <v>16.3</v>
      </c>
      <c r="O24" s="9">
        <v>0</v>
      </c>
      <c r="P24" s="9">
        <f t="shared" si="0"/>
        <v>22.973800000000001</v>
      </c>
      <c r="Q24" s="9">
        <f t="shared" si="1"/>
        <v>21.907183070655904</v>
      </c>
      <c r="R24" s="8">
        <v>1</v>
      </c>
      <c r="S24" s="8">
        <v>1</v>
      </c>
      <c r="T24" s="10" t="s">
        <v>77</v>
      </c>
    </row>
    <row r="25" spans="1:20" x14ac:dyDescent="0.45">
      <c r="A25" s="8" t="s">
        <v>16</v>
      </c>
      <c r="B25" s="8" t="s">
        <v>17</v>
      </c>
      <c r="C25" s="8" t="s">
        <v>71</v>
      </c>
      <c r="D25" s="8" t="s">
        <v>72</v>
      </c>
      <c r="E25" s="8" t="s">
        <v>73</v>
      </c>
      <c r="F25" s="8" t="s">
        <v>74</v>
      </c>
      <c r="G25" s="8" t="s">
        <v>78</v>
      </c>
      <c r="H25" s="8" t="s">
        <v>76</v>
      </c>
      <c r="I25" s="9">
        <v>15</v>
      </c>
      <c r="J25" s="9">
        <v>3.65</v>
      </c>
      <c r="K25" s="9">
        <v>3.4</v>
      </c>
      <c r="L25" s="9">
        <v>43.2</v>
      </c>
      <c r="M25" s="9">
        <v>4.4000000000000004</v>
      </c>
      <c r="N25" s="9">
        <v>16.3</v>
      </c>
      <c r="O25" s="9">
        <v>0</v>
      </c>
      <c r="P25" s="9">
        <f t="shared" si="0"/>
        <v>23.223800000000001</v>
      </c>
      <c r="Q25" s="9">
        <f t="shared" si="1"/>
        <v>22.092908214325124</v>
      </c>
      <c r="R25" s="8">
        <v>1</v>
      </c>
      <c r="S25" s="8">
        <v>1</v>
      </c>
      <c r="T25" s="10" t="s">
        <v>79</v>
      </c>
    </row>
    <row r="26" spans="1:20" x14ac:dyDescent="0.45">
      <c r="A26" s="8" t="s">
        <v>16</v>
      </c>
      <c r="B26" s="8" t="s">
        <v>17</v>
      </c>
      <c r="C26" s="8" t="s">
        <v>71</v>
      </c>
      <c r="D26" s="8" t="s">
        <v>72</v>
      </c>
      <c r="E26" s="8" t="s">
        <v>73</v>
      </c>
      <c r="F26" s="8" t="s">
        <v>80</v>
      </c>
      <c r="G26" s="8" t="s">
        <v>75</v>
      </c>
      <c r="H26" s="8" t="s">
        <v>76</v>
      </c>
      <c r="I26" s="9">
        <v>15</v>
      </c>
      <c r="J26" s="9">
        <v>5.0999999999999996</v>
      </c>
      <c r="K26" s="9">
        <v>5.0999999999999996</v>
      </c>
      <c r="L26" s="9">
        <v>43.2</v>
      </c>
      <c r="M26" s="9">
        <v>4.4000000000000004</v>
      </c>
      <c r="N26" s="9">
        <v>16.3</v>
      </c>
      <c r="O26" s="9">
        <v>0</v>
      </c>
      <c r="P26" s="9">
        <f t="shared" si="0"/>
        <v>25.408199999999997</v>
      </c>
      <c r="Q26" s="9">
        <f t="shared" si="1"/>
        <v>23.678883761155305</v>
      </c>
      <c r="R26" s="8">
        <v>1</v>
      </c>
      <c r="S26" s="8">
        <v>1</v>
      </c>
      <c r="T26" s="10" t="s">
        <v>77</v>
      </c>
    </row>
    <row r="27" spans="1:20" x14ac:dyDescent="0.45">
      <c r="A27" s="8" t="s">
        <v>16</v>
      </c>
      <c r="B27" s="8" t="s">
        <v>17</v>
      </c>
      <c r="C27" s="8" t="s">
        <v>71</v>
      </c>
      <c r="D27" s="8" t="s">
        <v>72</v>
      </c>
      <c r="E27" s="8" t="s">
        <v>73</v>
      </c>
      <c r="F27" s="8" t="s">
        <v>80</v>
      </c>
      <c r="G27" s="8" t="s">
        <v>78</v>
      </c>
      <c r="H27" s="8" t="s">
        <v>76</v>
      </c>
      <c r="I27" s="9">
        <v>15</v>
      </c>
      <c r="J27" s="9">
        <v>5.4649999999999999</v>
      </c>
      <c r="K27" s="9">
        <v>5.0999999999999996</v>
      </c>
      <c r="L27" s="9">
        <v>43.2</v>
      </c>
      <c r="M27" s="9">
        <v>4.4000000000000004</v>
      </c>
      <c r="N27" s="9">
        <v>16.3</v>
      </c>
      <c r="O27" s="9">
        <v>0</v>
      </c>
      <c r="P27" s="9">
        <f t="shared" si="0"/>
        <v>25.773199999999999</v>
      </c>
      <c r="Q27" s="9">
        <f t="shared" si="1"/>
        <v>23.937615749125552</v>
      </c>
      <c r="R27" s="8">
        <v>1</v>
      </c>
      <c r="S27" s="8">
        <v>1</v>
      </c>
      <c r="T27" s="10" t="s">
        <v>79</v>
      </c>
    </row>
    <row r="28" spans="1:20" x14ac:dyDescent="0.45">
      <c r="A28" s="8" t="s">
        <v>16</v>
      </c>
      <c r="B28" s="8" t="s">
        <v>17</v>
      </c>
      <c r="C28" s="8" t="s">
        <v>71</v>
      </c>
      <c r="D28" s="8" t="s">
        <v>72</v>
      </c>
      <c r="E28" s="8" t="s">
        <v>73</v>
      </c>
      <c r="F28" s="8" t="s">
        <v>81</v>
      </c>
      <c r="G28" s="8" t="s">
        <v>75</v>
      </c>
      <c r="H28" s="8" t="s">
        <v>82</v>
      </c>
      <c r="I28" s="9">
        <v>23.9</v>
      </c>
      <c r="J28" s="9">
        <v>6.7</v>
      </c>
      <c r="K28" s="9">
        <v>6.7</v>
      </c>
      <c r="L28" s="9">
        <v>43.2</v>
      </c>
      <c r="M28" s="9">
        <v>4.4000000000000004</v>
      </c>
      <c r="N28" s="9">
        <v>16.3</v>
      </c>
      <c r="O28" s="9">
        <v>0</v>
      </c>
      <c r="P28" s="9">
        <f t="shared" si="0"/>
        <v>38.441699999999997</v>
      </c>
      <c r="Q28" s="9">
        <f t="shared" si="1"/>
        <v>35.076336017168757</v>
      </c>
      <c r="R28" s="8">
        <v>1</v>
      </c>
      <c r="S28" s="8">
        <v>1</v>
      </c>
      <c r="T28" s="10" t="s">
        <v>77</v>
      </c>
    </row>
    <row r="29" spans="1:20" x14ac:dyDescent="0.45">
      <c r="A29" s="8" t="s">
        <v>16</v>
      </c>
      <c r="B29" s="8" t="s">
        <v>17</v>
      </c>
      <c r="C29" s="8" t="s">
        <v>71</v>
      </c>
      <c r="D29" s="8" t="s">
        <v>72</v>
      </c>
      <c r="E29" s="8" t="s">
        <v>73</v>
      </c>
      <c r="F29" s="8" t="s">
        <v>81</v>
      </c>
      <c r="G29" s="8" t="s">
        <v>78</v>
      </c>
      <c r="H29" s="8" t="s">
        <v>82</v>
      </c>
      <c r="I29" s="9">
        <v>23.9</v>
      </c>
      <c r="J29" s="9">
        <v>7.18</v>
      </c>
      <c r="K29" s="9">
        <v>6.7</v>
      </c>
      <c r="L29" s="9">
        <v>43.2</v>
      </c>
      <c r="M29" s="9">
        <v>4.4000000000000004</v>
      </c>
      <c r="N29" s="9">
        <v>16.3</v>
      </c>
      <c r="O29" s="9">
        <v>0</v>
      </c>
      <c r="P29" s="9">
        <f t="shared" si="0"/>
        <v>38.921699999999994</v>
      </c>
      <c r="Q29" s="9">
        <f t="shared" si="1"/>
        <v>35.359447791675436</v>
      </c>
      <c r="R29" s="8">
        <v>1</v>
      </c>
      <c r="S29" s="8">
        <v>1</v>
      </c>
      <c r="T29" s="10" t="s">
        <v>79</v>
      </c>
    </row>
    <row r="30" spans="1:20" x14ac:dyDescent="0.45">
      <c r="A30" s="8" t="s">
        <v>16</v>
      </c>
      <c r="B30" s="8" t="s">
        <v>17</v>
      </c>
      <c r="C30" s="8" t="s">
        <v>71</v>
      </c>
      <c r="D30" s="8" t="s">
        <v>72</v>
      </c>
      <c r="E30" s="8" t="s">
        <v>83</v>
      </c>
      <c r="F30" s="8" t="s">
        <v>74</v>
      </c>
      <c r="G30" s="8" t="s">
        <v>78</v>
      </c>
      <c r="H30" s="8" t="s">
        <v>82</v>
      </c>
      <c r="I30" s="9">
        <v>23.9</v>
      </c>
      <c r="J30" s="9">
        <v>1.7549999999999999</v>
      </c>
      <c r="K30" s="9">
        <v>1.6</v>
      </c>
      <c r="L30" s="9">
        <v>93.5</v>
      </c>
      <c r="M30" s="9">
        <v>4.4000000000000004</v>
      </c>
      <c r="N30" s="9">
        <v>16.3</v>
      </c>
      <c r="O30" s="9">
        <v>0</v>
      </c>
      <c r="P30" s="9">
        <f t="shared" si="0"/>
        <v>32.098300000000002</v>
      </c>
      <c r="Q30" s="9">
        <f t="shared" si="1"/>
        <v>31.08764079766782</v>
      </c>
      <c r="R30" s="8">
        <v>1</v>
      </c>
      <c r="S30" s="8">
        <v>1</v>
      </c>
      <c r="T30" s="10" t="s">
        <v>84</v>
      </c>
    </row>
    <row r="31" spans="1:20" x14ac:dyDescent="0.45">
      <c r="A31" s="8" t="s">
        <v>16</v>
      </c>
      <c r="B31" s="8" t="s">
        <v>17</v>
      </c>
      <c r="C31" s="8" t="s">
        <v>71</v>
      </c>
      <c r="D31" s="8" t="s">
        <v>72</v>
      </c>
      <c r="E31" s="8" t="s">
        <v>83</v>
      </c>
      <c r="F31" s="8" t="s">
        <v>80</v>
      </c>
      <c r="G31" s="8" t="s">
        <v>78</v>
      </c>
      <c r="H31" s="8" t="s">
        <v>82</v>
      </c>
      <c r="I31" s="9">
        <v>23.9</v>
      </c>
      <c r="J31" s="9">
        <v>2.5299999999999998</v>
      </c>
      <c r="K31" s="9">
        <v>2.2999999999999998</v>
      </c>
      <c r="L31" s="9">
        <v>93.5</v>
      </c>
      <c r="M31" s="9">
        <v>4.4000000000000004</v>
      </c>
      <c r="N31" s="9">
        <v>16.3</v>
      </c>
      <c r="O31" s="9">
        <v>0</v>
      </c>
      <c r="P31" s="9">
        <f t="shared" si="0"/>
        <v>33.527799999999999</v>
      </c>
      <c r="Q31" s="9">
        <f t="shared" si="1"/>
        <v>32.028696844206891</v>
      </c>
      <c r="R31" s="8">
        <v>1</v>
      </c>
      <c r="S31" s="8">
        <v>1</v>
      </c>
      <c r="T31" s="10" t="s">
        <v>84</v>
      </c>
    </row>
    <row r="32" spans="1:20" x14ac:dyDescent="0.45">
      <c r="A32" s="8" t="s">
        <v>16</v>
      </c>
      <c r="B32" s="8" t="s">
        <v>17</v>
      </c>
      <c r="C32" s="8" t="s">
        <v>71</v>
      </c>
      <c r="D32" s="8" t="s">
        <v>72</v>
      </c>
      <c r="E32" s="8" t="s">
        <v>83</v>
      </c>
      <c r="F32" s="8" t="s">
        <v>81</v>
      </c>
      <c r="G32" s="8" t="s">
        <v>78</v>
      </c>
      <c r="H32" s="8" t="s">
        <v>82</v>
      </c>
      <c r="I32" s="9">
        <v>23.9</v>
      </c>
      <c r="J32" s="9">
        <v>3.4</v>
      </c>
      <c r="K32" s="9">
        <v>3.1</v>
      </c>
      <c r="L32" s="9">
        <v>93.5</v>
      </c>
      <c r="M32" s="9">
        <v>4.4000000000000004</v>
      </c>
      <c r="N32" s="9">
        <v>16.3</v>
      </c>
      <c r="O32" s="9">
        <v>0</v>
      </c>
      <c r="P32" s="9">
        <f t="shared" si="0"/>
        <v>35.145800000000001</v>
      </c>
      <c r="Q32" s="9">
        <f t="shared" si="1"/>
        <v>33.063307572543359</v>
      </c>
      <c r="R32" s="8">
        <v>1</v>
      </c>
      <c r="S32" s="8">
        <v>1</v>
      </c>
      <c r="T32" s="10" t="s">
        <v>84</v>
      </c>
    </row>
    <row r="33" spans="1:20" ht="26.25" x14ac:dyDescent="0.45">
      <c r="A33" s="8" t="s">
        <v>16</v>
      </c>
      <c r="B33" s="8" t="s">
        <v>17</v>
      </c>
      <c r="C33" s="8" t="s">
        <v>85</v>
      </c>
      <c r="D33" s="8" t="s">
        <v>86</v>
      </c>
      <c r="E33" s="8" t="s">
        <v>73</v>
      </c>
      <c r="F33" s="8" t="s">
        <v>87</v>
      </c>
      <c r="G33" s="8" t="s">
        <v>75</v>
      </c>
      <c r="H33" s="8" t="s">
        <v>88</v>
      </c>
      <c r="I33" s="9">
        <v>15</v>
      </c>
      <c r="J33" s="9">
        <v>6.7</v>
      </c>
      <c r="K33" s="9">
        <v>6.7</v>
      </c>
      <c r="L33" s="9">
        <v>43.2</v>
      </c>
      <c r="M33" s="9">
        <v>4.4000000000000004</v>
      </c>
      <c r="N33" s="9">
        <v>16.3</v>
      </c>
      <c r="O33" s="9">
        <v>0</v>
      </c>
      <c r="P33" s="9">
        <f t="shared" si="0"/>
        <v>27.699400000000001</v>
      </c>
      <c r="Q33" s="9">
        <f t="shared" si="1"/>
        <v>25.274466578584306</v>
      </c>
      <c r="R33" s="8">
        <v>0</v>
      </c>
      <c r="S33" s="8">
        <v>1</v>
      </c>
      <c r="T33" s="10" t="s">
        <v>89</v>
      </c>
    </row>
    <row r="34" spans="1:20" ht="26.25" x14ac:dyDescent="0.45">
      <c r="A34" s="8" t="s">
        <v>16</v>
      </c>
      <c r="B34" s="8" t="s">
        <v>17</v>
      </c>
      <c r="C34" s="8" t="s">
        <v>85</v>
      </c>
      <c r="D34" s="8" t="s">
        <v>86</v>
      </c>
      <c r="E34" s="8" t="s">
        <v>73</v>
      </c>
      <c r="F34" s="8" t="s">
        <v>87</v>
      </c>
      <c r="G34" s="8" t="s">
        <v>78</v>
      </c>
      <c r="H34" s="8" t="s">
        <v>88</v>
      </c>
      <c r="I34" s="9">
        <v>15</v>
      </c>
      <c r="J34" s="9">
        <v>7.18</v>
      </c>
      <c r="K34" s="9">
        <v>6.7</v>
      </c>
      <c r="L34" s="9">
        <v>43.2</v>
      </c>
      <c r="M34" s="9">
        <v>4.4000000000000004</v>
      </c>
      <c r="N34" s="9">
        <v>16.3</v>
      </c>
      <c r="O34" s="9">
        <v>0</v>
      </c>
      <c r="P34" s="9">
        <f t="shared" ref="P34:P65" si="2">I34*(1+M34/100+N34/100+O34/100)+J34+L34/100*K34</f>
        <v>28.179400000000001</v>
      </c>
      <c r="Q34" s="9">
        <f t="shared" ref="Q34:Q65" si="3">P34/(1+J34/100+L34/100*K34/100)</f>
        <v>25.600321237272244</v>
      </c>
      <c r="R34" s="8">
        <v>0</v>
      </c>
      <c r="S34" s="8">
        <v>1</v>
      </c>
      <c r="T34" s="10" t="s">
        <v>89</v>
      </c>
    </row>
    <row r="35" spans="1:20" x14ac:dyDescent="0.45">
      <c r="A35" s="8" t="s">
        <v>19</v>
      </c>
      <c r="B35" s="8" t="s">
        <v>20</v>
      </c>
      <c r="C35" s="8" t="s">
        <v>71</v>
      </c>
      <c r="D35" s="8" t="s">
        <v>72</v>
      </c>
      <c r="E35" s="8" t="s">
        <v>73</v>
      </c>
      <c r="F35" s="8" t="s">
        <v>74</v>
      </c>
      <c r="G35" s="8" t="s">
        <v>75</v>
      </c>
      <c r="H35" s="8" t="s">
        <v>76</v>
      </c>
      <c r="I35" s="9">
        <v>15</v>
      </c>
      <c r="J35" s="9">
        <v>3.4</v>
      </c>
      <c r="K35" s="9">
        <v>3.4</v>
      </c>
      <c r="L35" s="9">
        <v>43.2</v>
      </c>
      <c r="M35" s="9">
        <v>4.4000000000000004</v>
      </c>
      <c r="N35" s="9">
        <v>16.3</v>
      </c>
      <c r="O35" s="9">
        <v>0</v>
      </c>
      <c r="P35" s="9">
        <f t="shared" si="2"/>
        <v>22.973800000000001</v>
      </c>
      <c r="Q35" s="9">
        <f t="shared" si="3"/>
        <v>21.907183070655904</v>
      </c>
      <c r="R35" s="8">
        <v>1</v>
      </c>
      <c r="S35" s="8">
        <v>1</v>
      </c>
      <c r="T35" s="10" t="s">
        <v>77</v>
      </c>
    </row>
    <row r="36" spans="1:20" x14ac:dyDescent="0.45">
      <c r="A36" s="8" t="s">
        <v>19</v>
      </c>
      <c r="B36" s="8" t="s">
        <v>20</v>
      </c>
      <c r="C36" s="8" t="s">
        <v>71</v>
      </c>
      <c r="D36" s="8" t="s">
        <v>72</v>
      </c>
      <c r="E36" s="8" t="s">
        <v>73</v>
      </c>
      <c r="F36" s="8" t="s">
        <v>74</v>
      </c>
      <c r="G36" s="8" t="s">
        <v>78</v>
      </c>
      <c r="H36" s="8" t="s">
        <v>76</v>
      </c>
      <c r="I36" s="9">
        <v>15</v>
      </c>
      <c r="J36" s="9">
        <v>3.65</v>
      </c>
      <c r="K36" s="9">
        <v>3.4</v>
      </c>
      <c r="L36" s="9">
        <v>43.2</v>
      </c>
      <c r="M36" s="9">
        <v>4.4000000000000004</v>
      </c>
      <c r="N36" s="9">
        <v>16.3</v>
      </c>
      <c r="O36" s="9">
        <v>0</v>
      </c>
      <c r="P36" s="9">
        <f t="shared" si="2"/>
        <v>23.223800000000001</v>
      </c>
      <c r="Q36" s="9">
        <f t="shared" si="3"/>
        <v>22.092908214325124</v>
      </c>
      <c r="R36" s="8">
        <v>1</v>
      </c>
      <c r="S36" s="8">
        <v>1</v>
      </c>
      <c r="T36" s="10" t="s">
        <v>79</v>
      </c>
    </row>
    <row r="37" spans="1:20" x14ac:dyDescent="0.45">
      <c r="A37" s="8" t="s">
        <v>19</v>
      </c>
      <c r="B37" s="8" t="s">
        <v>20</v>
      </c>
      <c r="C37" s="8" t="s">
        <v>71</v>
      </c>
      <c r="D37" s="8" t="s">
        <v>72</v>
      </c>
      <c r="E37" s="8" t="s">
        <v>73</v>
      </c>
      <c r="F37" s="8" t="s">
        <v>80</v>
      </c>
      <c r="G37" s="8" t="s">
        <v>75</v>
      </c>
      <c r="H37" s="8" t="s">
        <v>76</v>
      </c>
      <c r="I37" s="9">
        <v>15</v>
      </c>
      <c r="J37" s="9">
        <v>5.0999999999999996</v>
      </c>
      <c r="K37" s="9">
        <v>5.0999999999999996</v>
      </c>
      <c r="L37" s="9">
        <v>43.2</v>
      </c>
      <c r="M37" s="9">
        <v>4.4000000000000004</v>
      </c>
      <c r="N37" s="9">
        <v>16.3</v>
      </c>
      <c r="O37" s="9">
        <v>0</v>
      </c>
      <c r="P37" s="9">
        <f t="shared" si="2"/>
        <v>25.408199999999997</v>
      </c>
      <c r="Q37" s="9">
        <f t="shared" si="3"/>
        <v>23.678883761155305</v>
      </c>
      <c r="R37" s="8">
        <v>1</v>
      </c>
      <c r="S37" s="8">
        <v>1</v>
      </c>
      <c r="T37" s="10" t="s">
        <v>77</v>
      </c>
    </row>
    <row r="38" spans="1:20" x14ac:dyDescent="0.45">
      <c r="A38" s="8" t="s">
        <v>19</v>
      </c>
      <c r="B38" s="8" t="s">
        <v>20</v>
      </c>
      <c r="C38" s="8" t="s">
        <v>71</v>
      </c>
      <c r="D38" s="8" t="s">
        <v>72</v>
      </c>
      <c r="E38" s="8" t="s">
        <v>73</v>
      </c>
      <c r="F38" s="8" t="s">
        <v>80</v>
      </c>
      <c r="G38" s="8" t="s">
        <v>78</v>
      </c>
      <c r="H38" s="8" t="s">
        <v>76</v>
      </c>
      <c r="I38" s="9">
        <v>15</v>
      </c>
      <c r="J38" s="9">
        <v>5.4649999999999999</v>
      </c>
      <c r="K38" s="9">
        <v>5.0999999999999996</v>
      </c>
      <c r="L38" s="9">
        <v>43.2</v>
      </c>
      <c r="M38" s="9">
        <v>4.4000000000000004</v>
      </c>
      <c r="N38" s="9">
        <v>16.3</v>
      </c>
      <c r="O38" s="9">
        <v>0</v>
      </c>
      <c r="P38" s="9">
        <f t="shared" si="2"/>
        <v>25.773199999999999</v>
      </c>
      <c r="Q38" s="9">
        <f t="shared" si="3"/>
        <v>23.937615749125552</v>
      </c>
      <c r="R38" s="8">
        <v>1</v>
      </c>
      <c r="S38" s="8">
        <v>1</v>
      </c>
      <c r="T38" s="10" t="s">
        <v>79</v>
      </c>
    </row>
    <row r="39" spans="1:20" x14ac:dyDescent="0.45">
      <c r="A39" s="8" t="s">
        <v>19</v>
      </c>
      <c r="B39" s="8" t="s">
        <v>20</v>
      </c>
      <c r="C39" s="8" t="s">
        <v>71</v>
      </c>
      <c r="D39" s="8" t="s">
        <v>72</v>
      </c>
      <c r="E39" s="8" t="s">
        <v>73</v>
      </c>
      <c r="F39" s="8" t="s">
        <v>81</v>
      </c>
      <c r="G39" s="8" t="s">
        <v>75</v>
      </c>
      <c r="H39" s="8" t="s">
        <v>82</v>
      </c>
      <c r="I39" s="9">
        <v>23.4</v>
      </c>
      <c r="J39" s="9">
        <v>6.7</v>
      </c>
      <c r="K39" s="9">
        <v>6.7</v>
      </c>
      <c r="L39" s="9">
        <v>43.2</v>
      </c>
      <c r="M39" s="9">
        <v>4.4000000000000004</v>
      </c>
      <c r="N39" s="9">
        <v>16.3</v>
      </c>
      <c r="O39" s="9">
        <v>0</v>
      </c>
      <c r="P39" s="9">
        <f t="shared" si="2"/>
        <v>37.838200000000001</v>
      </c>
      <c r="Q39" s="9">
        <f t="shared" si="3"/>
        <v>34.525669194776377</v>
      </c>
      <c r="R39" s="8">
        <v>1</v>
      </c>
      <c r="S39" s="8">
        <v>1</v>
      </c>
      <c r="T39" s="10" t="s">
        <v>77</v>
      </c>
    </row>
    <row r="40" spans="1:20" x14ac:dyDescent="0.45">
      <c r="A40" s="8" t="s">
        <v>19</v>
      </c>
      <c r="B40" s="8" t="s">
        <v>20</v>
      </c>
      <c r="C40" s="8" t="s">
        <v>71</v>
      </c>
      <c r="D40" s="8" t="s">
        <v>72</v>
      </c>
      <c r="E40" s="8" t="s">
        <v>73</v>
      </c>
      <c r="F40" s="8" t="s">
        <v>81</v>
      </c>
      <c r="G40" s="8" t="s">
        <v>78</v>
      </c>
      <c r="H40" s="8" t="s">
        <v>82</v>
      </c>
      <c r="I40" s="9">
        <v>23.4</v>
      </c>
      <c r="J40" s="9">
        <v>7.18</v>
      </c>
      <c r="K40" s="9">
        <v>6.7</v>
      </c>
      <c r="L40" s="9">
        <v>43.2</v>
      </c>
      <c r="M40" s="9">
        <v>4.4000000000000004</v>
      </c>
      <c r="N40" s="9">
        <v>16.3</v>
      </c>
      <c r="O40" s="9">
        <v>0</v>
      </c>
      <c r="P40" s="9">
        <f t="shared" si="2"/>
        <v>38.318199999999997</v>
      </c>
      <c r="Q40" s="9">
        <f t="shared" si="3"/>
        <v>34.811182254911216</v>
      </c>
      <c r="R40" s="8">
        <v>1</v>
      </c>
      <c r="S40" s="8">
        <v>1</v>
      </c>
      <c r="T40" s="10" t="s">
        <v>79</v>
      </c>
    </row>
    <row r="41" spans="1:20" x14ac:dyDescent="0.45">
      <c r="A41" s="8" t="s">
        <v>19</v>
      </c>
      <c r="B41" s="8" t="s">
        <v>20</v>
      </c>
      <c r="C41" s="8" t="s">
        <v>71</v>
      </c>
      <c r="D41" s="8" t="s">
        <v>72</v>
      </c>
      <c r="E41" s="8" t="s">
        <v>83</v>
      </c>
      <c r="F41" s="8" t="s">
        <v>74</v>
      </c>
      <c r="G41" s="8" t="s">
        <v>78</v>
      </c>
      <c r="H41" s="8" t="s">
        <v>82</v>
      </c>
      <c r="I41" s="9">
        <v>23.4</v>
      </c>
      <c r="J41" s="9">
        <v>0.39500000000000002</v>
      </c>
      <c r="K41" s="9">
        <v>0.3</v>
      </c>
      <c r="L41" s="9">
        <v>414.2</v>
      </c>
      <c r="M41" s="9">
        <v>4.4000000000000004</v>
      </c>
      <c r="N41" s="9">
        <v>16.3</v>
      </c>
      <c r="O41" s="9">
        <v>0</v>
      </c>
      <c r="P41" s="9">
        <f t="shared" si="2"/>
        <v>29.881399999999999</v>
      </c>
      <c r="Q41" s="9">
        <f t="shared" si="3"/>
        <v>29.399946476500823</v>
      </c>
      <c r="R41" s="8">
        <v>1</v>
      </c>
      <c r="S41" s="8">
        <v>1</v>
      </c>
      <c r="T41" s="10" t="s">
        <v>84</v>
      </c>
    </row>
    <row r="42" spans="1:20" x14ac:dyDescent="0.45">
      <c r="A42" s="8" t="s">
        <v>19</v>
      </c>
      <c r="B42" s="8" t="s">
        <v>20</v>
      </c>
      <c r="C42" s="8" t="s">
        <v>71</v>
      </c>
      <c r="D42" s="8" t="s">
        <v>72</v>
      </c>
      <c r="E42" s="8" t="s">
        <v>83</v>
      </c>
      <c r="F42" s="8" t="s">
        <v>80</v>
      </c>
      <c r="G42" s="8" t="s">
        <v>78</v>
      </c>
      <c r="H42" s="8" t="s">
        <v>82</v>
      </c>
      <c r="I42" s="9">
        <v>23.4</v>
      </c>
      <c r="J42" s="9">
        <v>0.63500000000000001</v>
      </c>
      <c r="K42" s="9">
        <v>0.5</v>
      </c>
      <c r="L42" s="9">
        <v>414.2</v>
      </c>
      <c r="M42" s="9">
        <v>4.4000000000000004</v>
      </c>
      <c r="N42" s="9">
        <v>16.3</v>
      </c>
      <c r="O42" s="9">
        <v>0</v>
      </c>
      <c r="P42" s="9">
        <f t="shared" si="2"/>
        <v>30.949800000000003</v>
      </c>
      <c r="Q42" s="9">
        <f t="shared" si="3"/>
        <v>30.13436410725761</v>
      </c>
      <c r="R42" s="8">
        <v>1</v>
      </c>
      <c r="S42" s="8">
        <v>1</v>
      </c>
      <c r="T42" s="10" t="s">
        <v>84</v>
      </c>
    </row>
    <row r="43" spans="1:20" x14ac:dyDescent="0.45">
      <c r="A43" s="8" t="s">
        <v>19</v>
      </c>
      <c r="B43" s="8" t="s">
        <v>20</v>
      </c>
      <c r="C43" s="8" t="s">
        <v>71</v>
      </c>
      <c r="D43" s="8" t="s">
        <v>72</v>
      </c>
      <c r="E43" s="8" t="s">
        <v>83</v>
      </c>
      <c r="F43" s="8" t="s">
        <v>81</v>
      </c>
      <c r="G43" s="8" t="s">
        <v>78</v>
      </c>
      <c r="H43" s="8" t="s">
        <v>82</v>
      </c>
      <c r="I43" s="9">
        <v>23.4</v>
      </c>
      <c r="J43" s="9">
        <v>0.88</v>
      </c>
      <c r="K43" s="9">
        <v>0.7</v>
      </c>
      <c r="L43" s="9">
        <v>414.2</v>
      </c>
      <c r="M43" s="9">
        <v>4.4000000000000004</v>
      </c>
      <c r="N43" s="9">
        <v>16.3</v>
      </c>
      <c r="O43" s="9">
        <v>0</v>
      </c>
      <c r="P43" s="9">
        <f t="shared" si="2"/>
        <v>32.023199999999996</v>
      </c>
      <c r="Q43" s="9">
        <f t="shared" si="3"/>
        <v>30.856990886437963</v>
      </c>
      <c r="R43" s="8">
        <v>1</v>
      </c>
      <c r="S43" s="8">
        <v>1</v>
      </c>
      <c r="T43" s="10" t="s">
        <v>84</v>
      </c>
    </row>
    <row r="44" spans="1:20" ht="26.25" x14ac:dyDescent="0.45">
      <c r="A44" s="8" t="s">
        <v>19</v>
      </c>
      <c r="B44" s="8" t="s">
        <v>20</v>
      </c>
      <c r="C44" s="8" t="s">
        <v>85</v>
      </c>
      <c r="D44" s="8" t="s">
        <v>86</v>
      </c>
      <c r="E44" s="8" t="s">
        <v>73</v>
      </c>
      <c r="F44" s="8" t="s">
        <v>87</v>
      </c>
      <c r="G44" s="8" t="s">
        <v>75</v>
      </c>
      <c r="H44" s="8" t="s">
        <v>88</v>
      </c>
      <c r="I44" s="9">
        <v>15</v>
      </c>
      <c r="J44" s="9">
        <v>6.7</v>
      </c>
      <c r="K44" s="9">
        <v>6.7</v>
      </c>
      <c r="L44" s="9">
        <v>43.2</v>
      </c>
      <c r="M44" s="9">
        <v>4.4000000000000004</v>
      </c>
      <c r="N44" s="9">
        <v>16.3</v>
      </c>
      <c r="O44" s="9">
        <v>0</v>
      </c>
      <c r="P44" s="9">
        <f t="shared" si="2"/>
        <v>27.699400000000001</v>
      </c>
      <c r="Q44" s="9">
        <f t="shared" si="3"/>
        <v>25.274466578584306</v>
      </c>
      <c r="R44" s="8">
        <v>0</v>
      </c>
      <c r="S44" s="8">
        <v>1</v>
      </c>
      <c r="T44" s="10" t="s">
        <v>89</v>
      </c>
    </row>
    <row r="45" spans="1:20" ht="26.25" x14ac:dyDescent="0.45">
      <c r="A45" s="8" t="s">
        <v>19</v>
      </c>
      <c r="B45" s="8" t="s">
        <v>20</v>
      </c>
      <c r="C45" s="8" t="s">
        <v>85</v>
      </c>
      <c r="D45" s="8" t="s">
        <v>86</v>
      </c>
      <c r="E45" s="8" t="s">
        <v>73</v>
      </c>
      <c r="F45" s="8" t="s">
        <v>87</v>
      </c>
      <c r="G45" s="8" t="s">
        <v>78</v>
      </c>
      <c r="H45" s="8" t="s">
        <v>88</v>
      </c>
      <c r="I45" s="9">
        <v>15</v>
      </c>
      <c r="J45" s="9">
        <v>7.18</v>
      </c>
      <c r="K45" s="9">
        <v>6.7</v>
      </c>
      <c r="L45" s="9">
        <v>43.2</v>
      </c>
      <c r="M45" s="9">
        <v>4.4000000000000004</v>
      </c>
      <c r="N45" s="9">
        <v>16.3</v>
      </c>
      <c r="O45" s="9">
        <v>0</v>
      </c>
      <c r="P45" s="9">
        <f t="shared" si="2"/>
        <v>28.179400000000001</v>
      </c>
      <c r="Q45" s="9">
        <f t="shared" si="3"/>
        <v>25.600321237272244</v>
      </c>
      <c r="R45" s="8">
        <v>0</v>
      </c>
      <c r="S45" s="8">
        <v>1</v>
      </c>
      <c r="T45" s="10" t="s">
        <v>89</v>
      </c>
    </row>
    <row r="46" spans="1:20" x14ac:dyDescent="0.45">
      <c r="A46" s="8" t="s">
        <v>22</v>
      </c>
      <c r="B46" s="8" t="s">
        <v>23</v>
      </c>
      <c r="C46" s="8" t="s">
        <v>71</v>
      </c>
      <c r="D46" s="8" t="s">
        <v>72</v>
      </c>
      <c r="E46" s="8" t="s">
        <v>73</v>
      </c>
      <c r="F46" s="8" t="s">
        <v>74</v>
      </c>
      <c r="G46" s="8" t="s">
        <v>75</v>
      </c>
      <c r="H46" s="8" t="s">
        <v>76</v>
      </c>
      <c r="I46" s="9">
        <v>15</v>
      </c>
      <c r="J46" s="9">
        <v>3.4</v>
      </c>
      <c r="K46" s="9">
        <v>3.4</v>
      </c>
      <c r="L46" s="9">
        <v>43.2</v>
      </c>
      <c r="M46" s="9">
        <v>4.4000000000000004</v>
      </c>
      <c r="N46" s="9">
        <v>16.3</v>
      </c>
      <c r="O46" s="9">
        <v>0</v>
      </c>
      <c r="P46" s="9">
        <f t="shared" si="2"/>
        <v>22.973800000000001</v>
      </c>
      <c r="Q46" s="9">
        <f t="shared" si="3"/>
        <v>21.907183070655904</v>
      </c>
      <c r="R46" s="8">
        <v>1</v>
      </c>
      <c r="S46" s="8">
        <v>1</v>
      </c>
      <c r="T46" s="10" t="s">
        <v>77</v>
      </c>
    </row>
    <row r="47" spans="1:20" x14ac:dyDescent="0.45">
      <c r="A47" s="8" t="s">
        <v>22</v>
      </c>
      <c r="B47" s="8" t="s">
        <v>23</v>
      </c>
      <c r="C47" s="8" t="s">
        <v>71</v>
      </c>
      <c r="D47" s="8" t="s">
        <v>72</v>
      </c>
      <c r="E47" s="8" t="s">
        <v>73</v>
      </c>
      <c r="F47" s="8" t="s">
        <v>74</v>
      </c>
      <c r="G47" s="8" t="s">
        <v>78</v>
      </c>
      <c r="H47" s="8" t="s">
        <v>76</v>
      </c>
      <c r="I47" s="9">
        <v>15</v>
      </c>
      <c r="J47" s="9">
        <v>3.65</v>
      </c>
      <c r="K47" s="9">
        <v>3.4</v>
      </c>
      <c r="L47" s="9">
        <v>43.2</v>
      </c>
      <c r="M47" s="9">
        <v>4.4000000000000004</v>
      </c>
      <c r="N47" s="9">
        <v>16.3</v>
      </c>
      <c r="O47" s="9">
        <v>0</v>
      </c>
      <c r="P47" s="9">
        <f t="shared" si="2"/>
        <v>23.223800000000001</v>
      </c>
      <c r="Q47" s="9">
        <f t="shared" si="3"/>
        <v>22.092908214325124</v>
      </c>
      <c r="R47" s="8">
        <v>1</v>
      </c>
      <c r="S47" s="8">
        <v>1</v>
      </c>
      <c r="T47" s="10" t="s">
        <v>79</v>
      </c>
    </row>
    <row r="48" spans="1:20" x14ac:dyDescent="0.45">
      <c r="A48" s="8" t="s">
        <v>22</v>
      </c>
      <c r="B48" s="8" t="s">
        <v>23</v>
      </c>
      <c r="C48" s="8" t="s">
        <v>71</v>
      </c>
      <c r="D48" s="8" t="s">
        <v>72</v>
      </c>
      <c r="E48" s="8" t="s">
        <v>73</v>
      </c>
      <c r="F48" s="8" t="s">
        <v>80</v>
      </c>
      <c r="G48" s="8" t="s">
        <v>75</v>
      </c>
      <c r="H48" s="8" t="s">
        <v>76</v>
      </c>
      <c r="I48" s="9">
        <v>15</v>
      </c>
      <c r="J48" s="9">
        <v>5.0999999999999996</v>
      </c>
      <c r="K48" s="9">
        <v>5.0999999999999996</v>
      </c>
      <c r="L48" s="9">
        <v>43.2</v>
      </c>
      <c r="M48" s="9">
        <v>4.4000000000000004</v>
      </c>
      <c r="N48" s="9">
        <v>16.3</v>
      </c>
      <c r="O48" s="9">
        <v>0</v>
      </c>
      <c r="P48" s="9">
        <f t="shared" si="2"/>
        <v>25.408199999999997</v>
      </c>
      <c r="Q48" s="9">
        <f t="shared" si="3"/>
        <v>23.678883761155305</v>
      </c>
      <c r="R48" s="8">
        <v>1</v>
      </c>
      <c r="S48" s="8">
        <v>1</v>
      </c>
      <c r="T48" s="10" t="s">
        <v>77</v>
      </c>
    </row>
    <row r="49" spans="1:20" x14ac:dyDescent="0.45">
      <c r="A49" s="8" t="s">
        <v>22</v>
      </c>
      <c r="B49" s="8" t="s">
        <v>23</v>
      </c>
      <c r="C49" s="8" t="s">
        <v>71</v>
      </c>
      <c r="D49" s="8" t="s">
        <v>72</v>
      </c>
      <c r="E49" s="8" t="s">
        <v>73</v>
      </c>
      <c r="F49" s="8" t="s">
        <v>80</v>
      </c>
      <c r="G49" s="8" t="s">
        <v>78</v>
      </c>
      <c r="H49" s="8" t="s">
        <v>76</v>
      </c>
      <c r="I49" s="9">
        <v>15</v>
      </c>
      <c r="J49" s="9">
        <v>5.4649999999999999</v>
      </c>
      <c r="K49" s="9">
        <v>5.0999999999999996</v>
      </c>
      <c r="L49" s="9">
        <v>43.2</v>
      </c>
      <c r="M49" s="9">
        <v>4.4000000000000004</v>
      </c>
      <c r="N49" s="9">
        <v>16.3</v>
      </c>
      <c r="O49" s="9">
        <v>0</v>
      </c>
      <c r="P49" s="9">
        <f t="shared" si="2"/>
        <v>25.773199999999999</v>
      </c>
      <c r="Q49" s="9">
        <f t="shared" si="3"/>
        <v>23.937615749125552</v>
      </c>
      <c r="R49" s="8">
        <v>1</v>
      </c>
      <c r="S49" s="8">
        <v>1</v>
      </c>
      <c r="T49" s="10" t="s">
        <v>79</v>
      </c>
    </row>
    <row r="50" spans="1:20" x14ac:dyDescent="0.45">
      <c r="A50" s="8" t="s">
        <v>22</v>
      </c>
      <c r="B50" s="8" t="s">
        <v>23</v>
      </c>
      <c r="C50" s="8" t="s">
        <v>71</v>
      </c>
      <c r="D50" s="8" t="s">
        <v>72</v>
      </c>
      <c r="E50" s="8" t="s">
        <v>73</v>
      </c>
      <c r="F50" s="8" t="s">
        <v>81</v>
      </c>
      <c r="G50" s="8" t="s">
        <v>75</v>
      </c>
      <c r="H50" s="8" t="s">
        <v>82</v>
      </c>
      <c r="I50" s="9">
        <v>23.4</v>
      </c>
      <c r="J50" s="9">
        <v>6.7</v>
      </c>
      <c r="K50" s="9">
        <v>6.7</v>
      </c>
      <c r="L50" s="9">
        <v>43.2</v>
      </c>
      <c r="M50" s="9">
        <v>4.4000000000000004</v>
      </c>
      <c r="N50" s="9">
        <v>16.3</v>
      </c>
      <c r="O50" s="9">
        <v>0</v>
      </c>
      <c r="P50" s="9">
        <f t="shared" si="2"/>
        <v>37.838200000000001</v>
      </c>
      <c r="Q50" s="9">
        <f t="shared" si="3"/>
        <v>34.525669194776377</v>
      </c>
      <c r="R50" s="8">
        <v>1</v>
      </c>
      <c r="S50" s="8">
        <v>1</v>
      </c>
      <c r="T50" s="10" t="s">
        <v>77</v>
      </c>
    </row>
    <row r="51" spans="1:20" x14ac:dyDescent="0.45">
      <c r="A51" s="8" t="s">
        <v>22</v>
      </c>
      <c r="B51" s="8" t="s">
        <v>23</v>
      </c>
      <c r="C51" s="8" t="s">
        <v>71</v>
      </c>
      <c r="D51" s="8" t="s">
        <v>72</v>
      </c>
      <c r="E51" s="8" t="s">
        <v>73</v>
      </c>
      <c r="F51" s="8" t="s">
        <v>81</v>
      </c>
      <c r="G51" s="8" t="s">
        <v>78</v>
      </c>
      <c r="H51" s="8" t="s">
        <v>82</v>
      </c>
      <c r="I51" s="9">
        <v>23.4</v>
      </c>
      <c r="J51" s="9">
        <v>7.18</v>
      </c>
      <c r="K51" s="9">
        <v>6.7</v>
      </c>
      <c r="L51" s="9">
        <v>43.2</v>
      </c>
      <c r="M51" s="9">
        <v>4.4000000000000004</v>
      </c>
      <c r="N51" s="9">
        <v>16.3</v>
      </c>
      <c r="O51" s="9">
        <v>0</v>
      </c>
      <c r="P51" s="9">
        <f t="shared" si="2"/>
        <v>38.318199999999997</v>
      </c>
      <c r="Q51" s="9">
        <f t="shared" si="3"/>
        <v>34.811182254911216</v>
      </c>
      <c r="R51" s="8">
        <v>1</v>
      </c>
      <c r="S51" s="8">
        <v>1</v>
      </c>
      <c r="T51" s="10" t="s">
        <v>79</v>
      </c>
    </row>
    <row r="52" spans="1:20" x14ac:dyDescent="0.45">
      <c r="A52" s="8" t="s">
        <v>22</v>
      </c>
      <c r="B52" s="8" t="s">
        <v>23</v>
      </c>
      <c r="C52" s="8" t="s">
        <v>71</v>
      </c>
      <c r="D52" s="8" t="s">
        <v>72</v>
      </c>
      <c r="E52" s="8" t="s">
        <v>83</v>
      </c>
      <c r="F52" s="8" t="s">
        <v>74</v>
      </c>
      <c r="G52" s="8" t="s">
        <v>78</v>
      </c>
      <c r="H52" s="8" t="s">
        <v>82</v>
      </c>
      <c r="I52" s="9">
        <v>23.4</v>
      </c>
      <c r="J52" s="9">
        <v>0.39500000000000002</v>
      </c>
      <c r="K52" s="9">
        <v>0.3</v>
      </c>
      <c r="L52" s="9">
        <v>414.2</v>
      </c>
      <c r="M52" s="9">
        <v>4.4000000000000004</v>
      </c>
      <c r="N52" s="9">
        <v>16.3</v>
      </c>
      <c r="O52" s="9">
        <v>0</v>
      </c>
      <c r="P52" s="9">
        <f t="shared" si="2"/>
        <v>29.881399999999999</v>
      </c>
      <c r="Q52" s="9">
        <f t="shared" si="3"/>
        <v>29.399946476500823</v>
      </c>
      <c r="R52" s="8">
        <v>1</v>
      </c>
      <c r="S52" s="8">
        <v>1</v>
      </c>
      <c r="T52" s="10" t="s">
        <v>84</v>
      </c>
    </row>
    <row r="53" spans="1:20" x14ac:dyDescent="0.45">
      <c r="A53" s="8" t="s">
        <v>22</v>
      </c>
      <c r="B53" s="8" t="s">
        <v>23</v>
      </c>
      <c r="C53" s="8" t="s">
        <v>71</v>
      </c>
      <c r="D53" s="8" t="s">
        <v>72</v>
      </c>
      <c r="E53" s="8" t="s">
        <v>83</v>
      </c>
      <c r="F53" s="8" t="s">
        <v>80</v>
      </c>
      <c r="G53" s="8" t="s">
        <v>78</v>
      </c>
      <c r="H53" s="8" t="s">
        <v>82</v>
      </c>
      <c r="I53" s="9">
        <v>23.4</v>
      </c>
      <c r="J53" s="9">
        <v>0.63500000000000001</v>
      </c>
      <c r="K53" s="9">
        <v>0.5</v>
      </c>
      <c r="L53" s="9">
        <v>414.2</v>
      </c>
      <c r="M53" s="9">
        <v>4.4000000000000004</v>
      </c>
      <c r="N53" s="9">
        <v>16.3</v>
      </c>
      <c r="O53" s="9">
        <v>0</v>
      </c>
      <c r="P53" s="9">
        <f t="shared" si="2"/>
        <v>30.949800000000003</v>
      </c>
      <c r="Q53" s="9">
        <f t="shared" si="3"/>
        <v>30.13436410725761</v>
      </c>
      <c r="R53" s="8">
        <v>1</v>
      </c>
      <c r="S53" s="8">
        <v>1</v>
      </c>
      <c r="T53" s="10" t="s">
        <v>84</v>
      </c>
    </row>
    <row r="54" spans="1:20" x14ac:dyDescent="0.45">
      <c r="A54" s="8" t="s">
        <v>22</v>
      </c>
      <c r="B54" s="8" t="s">
        <v>23</v>
      </c>
      <c r="C54" s="8" t="s">
        <v>71</v>
      </c>
      <c r="D54" s="8" t="s">
        <v>72</v>
      </c>
      <c r="E54" s="8" t="s">
        <v>83</v>
      </c>
      <c r="F54" s="8" t="s">
        <v>81</v>
      </c>
      <c r="G54" s="8" t="s">
        <v>78</v>
      </c>
      <c r="H54" s="8" t="s">
        <v>82</v>
      </c>
      <c r="I54" s="9">
        <v>23.4</v>
      </c>
      <c r="J54" s="9">
        <v>0.88</v>
      </c>
      <c r="K54" s="9">
        <v>0.7</v>
      </c>
      <c r="L54" s="9">
        <v>414.2</v>
      </c>
      <c r="M54" s="9">
        <v>4.4000000000000004</v>
      </c>
      <c r="N54" s="9">
        <v>16.3</v>
      </c>
      <c r="O54" s="9">
        <v>0</v>
      </c>
      <c r="P54" s="9">
        <f t="shared" si="2"/>
        <v>32.023199999999996</v>
      </c>
      <c r="Q54" s="9">
        <f t="shared" si="3"/>
        <v>30.856990886437963</v>
      </c>
      <c r="R54" s="8">
        <v>1</v>
      </c>
      <c r="S54" s="8">
        <v>1</v>
      </c>
      <c r="T54" s="10" t="s">
        <v>84</v>
      </c>
    </row>
    <row r="55" spans="1:20" ht="26.25" x14ac:dyDescent="0.45">
      <c r="A55" s="8" t="s">
        <v>22</v>
      </c>
      <c r="B55" s="8" t="s">
        <v>23</v>
      </c>
      <c r="C55" s="8" t="s">
        <v>85</v>
      </c>
      <c r="D55" s="8" t="s">
        <v>86</v>
      </c>
      <c r="E55" s="8" t="s">
        <v>73</v>
      </c>
      <c r="F55" s="8" t="s">
        <v>87</v>
      </c>
      <c r="G55" s="8" t="s">
        <v>75</v>
      </c>
      <c r="H55" s="8" t="s">
        <v>88</v>
      </c>
      <c r="I55" s="9">
        <v>15</v>
      </c>
      <c r="J55" s="9">
        <v>6.7</v>
      </c>
      <c r="K55" s="9">
        <v>6.7</v>
      </c>
      <c r="L55" s="9">
        <v>43.2</v>
      </c>
      <c r="M55" s="9">
        <v>4.4000000000000004</v>
      </c>
      <c r="N55" s="9">
        <v>16.3</v>
      </c>
      <c r="O55" s="9">
        <v>0</v>
      </c>
      <c r="P55" s="9">
        <f t="shared" si="2"/>
        <v>27.699400000000001</v>
      </c>
      <c r="Q55" s="9">
        <f t="shared" si="3"/>
        <v>25.274466578584306</v>
      </c>
      <c r="R55" s="8">
        <v>0</v>
      </c>
      <c r="S55" s="8">
        <v>1</v>
      </c>
      <c r="T55" s="10" t="s">
        <v>89</v>
      </c>
    </row>
    <row r="56" spans="1:20" ht="26.25" x14ac:dyDescent="0.45">
      <c r="A56" s="8" t="s">
        <v>22</v>
      </c>
      <c r="B56" s="8" t="s">
        <v>23</v>
      </c>
      <c r="C56" s="8" t="s">
        <v>85</v>
      </c>
      <c r="D56" s="8" t="s">
        <v>86</v>
      </c>
      <c r="E56" s="8" t="s">
        <v>73</v>
      </c>
      <c r="F56" s="8" t="s">
        <v>87</v>
      </c>
      <c r="G56" s="8" t="s">
        <v>78</v>
      </c>
      <c r="H56" s="8" t="s">
        <v>88</v>
      </c>
      <c r="I56" s="9">
        <v>15</v>
      </c>
      <c r="J56" s="9">
        <v>7.18</v>
      </c>
      <c r="K56" s="9">
        <v>6.7</v>
      </c>
      <c r="L56" s="9">
        <v>43.2</v>
      </c>
      <c r="M56" s="9">
        <v>4.4000000000000004</v>
      </c>
      <c r="N56" s="9">
        <v>16.3</v>
      </c>
      <c r="O56" s="9">
        <v>0</v>
      </c>
      <c r="P56" s="9">
        <f t="shared" si="2"/>
        <v>28.179400000000001</v>
      </c>
      <c r="Q56" s="9">
        <f t="shared" si="3"/>
        <v>25.600321237272244</v>
      </c>
      <c r="R56" s="8">
        <v>0</v>
      </c>
      <c r="S56" s="8">
        <v>1</v>
      </c>
      <c r="T56" s="10" t="s">
        <v>89</v>
      </c>
    </row>
    <row r="57" spans="1:20" x14ac:dyDescent="0.45">
      <c r="A57" s="8" t="s">
        <v>25</v>
      </c>
      <c r="B57" s="8" t="s">
        <v>26</v>
      </c>
      <c r="C57" s="8" t="s">
        <v>71</v>
      </c>
      <c r="D57" s="8" t="s">
        <v>72</v>
      </c>
      <c r="E57" s="8" t="s">
        <v>73</v>
      </c>
      <c r="F57" s="8" t="s">
        <v>74</v>
      </c>
      <c r="G57" s="8" t="s">
        <v>75</v>
      </c>
      <c r="H57" s="8" t="s">
        <v>76</v>
      </c>
      <c r="I57" s="9">
        <v>15</v>
      </c>
      <c r="J57" s="9">
        <v>3.4</v>
      </c>
      <c r="K57" s="9">
        <v>3.4</v>
      </c>
      <c r="L57" s="9">
        <v>43.2</v>
      </c>
      <c r="M57" s="9">
        <v>4.4000000000000004</v>
      </c>
      <c r="N57" s="9">
        <v>16.3</v>
      </c>
      <c r="O57" s="9">
        <v>0</v>
      </c>
      <c r="P57" s="9">
        <f t="shared" si="2"/>
        <v>22.973800000000001</v>
      </c>
      <c r="Q57" s="9">
        <f t="shared" si="3"/>
        <v>21.907183070655904</v>
      </c>
      <c r="R57" s="8">
        <v>1</v>
      </c>
      <c r="S57" s="8">
        <v>1</v>
      </c>
      <c r="T57" s="10" t="s">
        <v>77</v>
      </c>
    </row>
    <row r="58" spans="1:20" x14ac:dyDescent="0.45">
      <c r="A58" s="8" t="s">
        <v>25</v>
      </c>
      <c r="B58" s="8" t="s">
        <v>26</v>
      </c>
      <c r="C58" s="8" t="s">
        <v>71</v>
      </c>
      <c r="D58" s="8" t="s">
        <v>72</v>
      </c>
      <c r="E58" s="8" t="s">
        <v>73</v>
      </c>
      <c r="F58" s="8" t="s">
        <v>74</v>
      </c>
      <c r="G58" s="8" t="s">
        <v>78</v>
      </c>
      <c r="H58" s="8" t="s">
        <v>76</v>
      </c>
      <c r="I58" s="9">
        <v>15</v>
      </c>
      <c r="J58" s="9">
        <v>3.65</v>
      </c>
      <c r="K58" s="9">
        <v>3.4</v>
      </c>
      <c r="L58" s="9">
        <v>43.2</v>
      </c>
      <c r="M58" s="9">
        <v>4.4000000000000004</v>
      </c>
      <c r="N58" s="9">
        <v>16.3</v>
      </c>
      <c r="O58" s="9">
        <v>0</v>
      </c>
      <c r="P58" s="9">
        <f t="shared" si="2"/>
        <v>23.223800000000001</v>
      </c>
      <c r="Q58" s="9">
        <f t="shared" si="3"/>
        <v>22.092908214325124</v>
      </c>
      <c r="R58" s="8">
        <v>1</v>
      </c>
      <c r="S58" s="8">
        <v>1</v>
      </c>
      <c r="T58" s="10" t="s">
        <v>79</v>
      </c>
    </row>
    <row r="59" spans="1:20" x14ac:dyDescent="0.45">
      <c r="A59" s="8" t="s">
        <v>25</v>
      </c>
      <c r="B59" s="8" t="s">
        <v>26</v>
      </c>
      <c r="C59" s="8" t="s">
        <v>71</v>
      </c>
      <c r="D59" s="8" t="s">
        <v>72</v>
      </c>
      <c r="E59" s="8" t="s">
        <v>73</v>
      </c>
      <c r="F59" s="8" t="s">
        <v>80</v>
      </c>
      <c r="G59" s="8" t="s">
        <v>75</v>
      </c>
      <c r="H59" s="8" t="s">
        <v>76</v>
      </c>
      <c r="I59" s="9">
        <v>15</v>
      </c>
      <c r="J59" s="9">
        <v>5.0999999999999996</v>
      </c>
      <c r="K59" s="9">
        <v>5.0999999999999996</v>
      </c>
      <c r="L59" s="9">
        <v>43.2</v>
      </c>
      <c r="M59" s="9">
        <v>4.4000000000000004</v>
      </c>
      <c r="N59" s="9">
        <v>16.3</v>
      </c>
      <c r="O59" s="9">
        <v>0</v>
      </c>
      <c r="P59" s="9">
        <f t="shared" si="2"/>
        <v>25.408199999999997</v>
      </c>
      <c r="Q59" s="9">
        <f t="shared" si="3"/>
        <v>23.678883761155305</v>
      </c>
      <c r="R59" s="8">
        <v>1</v>
      </c>
      <c r="S59" s="8">
        <v>1</v>
      </c>
      <c r="T59" s="10" t="s">
        <v>77</v>
      </c>
    </row>
    <row r="60" spans="1:20" x14ac:dyDescent="0.45">
      <c r="A60" s="8" t="s">
        <v>25</v>
      </c>
      <c r="B60" s="8" t="s">
        <v>26</v>
      </c>
      <c r="C60" s="8" t="s">
        <v>71</v>
      </c>
      <c r="D60" s="8" t="s">
        <v>72</v>
      </c>
      <c r="E60" s="8" t="s">
        <v>73</v>
      </c>
      <c r="F60" s="8" t="s">
        <v>80</v>
      </c>
      <c r="G60" s="8" t="s">
        <v>78</v>
      </c>
      <c r="H60" s="8" t="s">
        <v>76</v>
      </c>
      <c r="I60" s="9">
        <v>15</v>
      </c>
      <c r="J60" s="9">
        <v>5.4649999999999999</v>
      </c>
      <c r="K60" s="9">
        <v>5.0999999999999996</v>
      </c>
      <c r="L60" s="9">
        <v>43.2</v>
      </c>
      <c r="M60" s="9">
        <v>4.4000000000000004</v>
      </c>
      <c r="N60" s="9">
        <v>16.3</v>
      </c>
      <c r="O60" s="9">
        <v>0</v>
      </c>
      <c r="P60" s="9">
        <f t="shared" si="2"/>
        <v>25.773199999999999</v>
      </c>
      <c r="Q60" s="9">
        <f t="shared" si="3"/>
        <v>23.937615749125552</v>
      </c>
      <c r="R60" s="8">
        <v>1</v>
      </c>
      <c r="S60" s="8">
        <v>1</v>
      </c>
      <c r="T60" s="10" t="s">
        <v>79</v>
      </c>
    </row>
    <row r="61" spans="1:20" x14ac:dyDescent="0.45">
      <c r="A61" s="8" t="s">
        <v>25</v>
      </c>
      <c r="B61" s="8" t="s">
        <v>26</v>
      </c>
      <c r="C61" s="8" t="s">
        <v>71</v>
      </c>
      <c r="D61" s="8" t="s">
        <v>72</v>
      </c>
      <c r="E61" s="8" t="s">
        <v>73</v>
      </c>
      <c r="F61" s="8" t="s">
        <v>81</v>
      </c>
      <c r="G61" s="8" t="s">
        <v>75</v>
      </c>
      <c r="H61" s="8" t="s">
        <v>82</v>
      </c>
      <c r="I61" s="9">
        <v>23.2</v>
      </c>
      <c r="J61" s="9">
        <v>6.7</v>
      </c>
      <c r="K61" s="9">
        <v>6.7</v>
      </c>
      <c r="L61" s="9">
        <v>43.2</v>
      </c>
      <c r="M61" s="9">
        <v>4.4000000000000004</v>
      </c>
      <c r="N61" s="9">
        <v>16.3</v>
      </c>
      <c r="O61" s="9">
        <v>0</v>
      </c>
      <c r="P61" s="9">
        <f t="shared" si="2"/>
        <v>37.596800000000002</v>
      </c>
      <c r="Q61" s="9">
        <f t="shared" si="3"/>
        <v>34.305402465819419</v>
      </c>
      <c r="R61" s="8">
        <v>1</v>
      </c>
      <c r="S61" s="8">
        <v>1</v>
      </c>
      <c r="T61" s="10" t="s">
        <v>77</v>
      </c>
    </row>
    <row r="62" spans="1:20" x14ac:dyDescent="0.45">
      <c r="A62" s="8" t="s">
        <v>25</v>
      </c>
      <c r="B62" s="8" t="s">
        <v>26</v>
      </c>
      <c r="C62" s="8" t="s">
        <v>71</v>
      </c>
      <c r="D62" s="8" t="s">
        <v>72</v>
      </c>
      <c r="E62" s="8" t="s">
        <v>73</v>
      </c>
      <c r="F62" s="8" t="s">
        <v>81</v>
      </c>
      <c r="G62" s="8" t="s">
        <v>78</v>
      </c>
      <c r="H62" s="8" t="s">
        <v>82</v>
      </c>
      <c r="I62" s="9">
        <v>23.2</v>
      </c>
      <c r="J62" s="9">
        <v>7.18</v>
      </c>
      <c r="K62" s="9">
        <v>6.7</v>
      </c>
      <c r="L62" s="9">
        <v>43.2</v>
      </c>
      <c r="M62" s="9">
        <v>4.4000000000000004</v>
      </c>
      <c r="N62" s="9">
        <v>16.3</v>
      </c>
      <c r="O62" s="9">
        <v>0</v>
      </c>
      <c r="P62" s="9">
        <f t="shared" si="2"/>
        <v>38.076799999999999</v>
      </c>
      <c r="Q62" s="9">
        <f t="shared" si="3"/>
        <v>34.591876040205527</v>
      </c>
      <c r="R62" s="8">
        <v>1</v>
      </c>
      <c r="S62" s="8">
        <v>1</v>
      </c>
      <c r="T62" s="10" t="s">
        <v>79</v>
      </c>
    </row>
    <row r="63" spans="1:20" x14ac:dyDescent="0.45">
      <c r="A63" s="8" t="s">
        <v>25</v>
      </c>
      <c r="B63" s="8" t="s">
        <v>26</v>
      </c>
      <c r="C63" s="8" t="s">
        <v>71</v>
      </c>
      <c r="D63" s="8" t="s">
        <v>72</v>
      </c>
      <c r="E63" s="8" t="s">
        <v>83</v>
      </c>
      <c r="F63" s="8" t="s">
        <v>74</v>
      </c>
      <c r="G63" s="8" t="s">
        <v>78</v>
      </c>
      <c r="H63" s="8" t="s">
        <v>82</v>
      </c>
      <c r="I63" s="9">
        <v>23.2</v>
      </c>
      <c r="J63" s="9">
        <v>0.39500000000000002</v>
      </c>
      <c r="K63" s="9">
        <v>0.3</v>
      </c>
      <c r="L63" s="9">
        <v>414.2</v>
      </c>
      <c r="M63" s="9">
        <v>4.4000000000000004</v>
      </c>
      <c r="N63" s="9">
        <v>16.3</v>
      </c>
      <c r="O63" s="9">
        <v>0</v>
      </c>
      <c r="P63" s="9">
        <f t="shared" si="2"/>
        <v>29.64</v>
      </c>
      <c r="Q63" s="9">
        <f t="shared" si="3"/>
        <v>29.162435948900804</v>
      </c>
      <c r="R63" s="8">
        <v>1</v>
      </c>
      <c r="S63" s="8">
        <v>1</v>
      </c>
      <c r="T63" s="10" t="s">
        <v>84</v>
      </c>
    </row>
    <row r="64" spans="1:20" x14ac:dyDescent="0.45">
      <c r="A64" s="8" t="s">
        <v>25</v>
      </c>
      <c r="B64" s="8" t="s">
        <v>26</v>
      </c>
      <c r="C64" s="8" t="s">
        <v>71</v>
      </c>
      <c r="D64" s="8" t="s">
        <v>72</v>
      </c>
      <c r="E64" s="8" t="s">
        <v>83</v>
      </c>
      <c r="F64" s="8" t="s">
        <v>80</v>
      </c>
      <c r="G64" s="8" t="s">
        <v>78</v>
      </c>
      <c r="H64" s="8" t="s">
        <v>82</v>
      </c>
      <c r="I64" s="9">
        <v>23.2</v>
      </c>
      <c r="J64" s="9">
        <v>0.63500000000000001</v>
      </c>
      <c r="K64" s="9">
        <v>0.5</v>
      </c>
      <c r="L64" s="9">
        <v>414.2</v>
      </c>
      <c r="M64" s="9">
        <v>4.4000000000000004</v>
      </c>
      <c r="N64" s="9">
        <v>16.3</v>
      </c>
      <c r="O64" s="9">
        <v>0</v>
      </c>
      <c r="P64" s="9">
        <f t="shared" si="2"/>
        <v>30.708400000000005</v>
      </c>
      <c r="Q64" s="9">
        <f t="shared" si="3"/>
        <v>29.899324284851911</v>
      </c>
      <c r="R64" s="8">
        <v>1</v>
      </c>
      <c r="S64" s="8">
        <v>1</v>
      </c>
      <c r="T64" s="10" t="s">
        <v>84</v>
      </c>
    </row>
    <row r="65" spans="1:20" x14ac:dyDescent="0.45">
      <c r="A65" s="8" t="s">
        <v>25</v>
      </c>
      <c r="B65" s="8" t="s">
        <v>26</v>
      </c>
      <c r="C65" s="8" t="s">
        <v>71</v>
      </c>
      <c r="D65" s="8" t="s">
        <v>72</v>
      </c>
      <c r="E65" s="8" t="s">
        <v>83</v>
      </c>
      <c r="F65" s="8" t="s">
        <v>81</v>
      </c>
      <c r="G65" s="8" t="s">
        <v>78</v>
      </c>
      <c r="H65" s="8" t="s">
        <v>82</v>
      </c>
      <c r="I65" s="9">
        <v>23.2</v>
      </c>
      <c r="J65" s="9">
        <v>0.88</v>
      </c>
      <c r="K65" s="9">
        <v>0.7</v>
      </c>
      <c r="L65" s="9">
        <v>414.2</v>
      </c>
      <c r="M65" s="9">
        <v>4.4000000000000004</v>
      </c>
      <c r="N65" s="9">
        <v>16.3</v>
      </c>
      <c r="O65" s="9">
        <v>0</v>
      </c>
      <c r="P65" s="9">
        <f t="shared" si="2"/>
        <v>31.7818</v>
      </c>
      <c r="Q65" s="9">
        <f t="shared" si="3"/>
        <v>30.624382102806535</v>
      </c>
      <c r="R65" s="8">
        <v>1</v>
      </c>
      <c r="S65" s="8">
        <v>1</v>
      </c>
      <c r="T65" s="10" t="s">
        <v>84</v>
      </c>
    </row>
    <row r="66" spans="1:20" ht="26.25" x14ac:dyDescent="0.45">
      <c r="A66" s="8" t="s">
        <v>25</v>
      </c>
      <c r="B66" s="8" t="s">
        <v>26</v>
      </c>
      <c r="C66" s="8" t="s">
        <v>85</v>
      </c>
      <c r="D66" s="8" t="s">
        <v>86</v>
      </c>
      <c r="E66" s="8" t="s">
        <v>73</v>
      </c>
      <c r="F66" s="8" t="s">
        <v>87</v>
      </c>
      <c r="G66" s="8" t="s">
        <v>75</v>
      </c>
      <c r="H66" s="8" t="s">
        <v>88</v>
      </c>
      <c r="I66" s="9">
        <v>15</v>
      </c>
      <c r="J66" s="9">
        <v>6.7</v>
      </c>
      <c r="K66" s="9">
        <v>6.7</v>
      </c>
      <c r="L66" s="9">
        <v>43.2</v>
      </c>
      <c r="M66" s="9">
        <v>4.4000000000000004</v>
      </c>
      <c r="N66" s="9">
        <v>16.3</v>
      </c>
      <c r="O66" s="9">
        <v>0</v>
      </c>
      <c r="P66" s="9">
        <f t="shared" ref="P66:P97" si="4">I66*(1+M66/100+N66/100+O66/100)+J66+L66/100*K66</f>
        <v>27.699400000000001</v>
      </c>
      <c r="Q66" s="9">
        <f t="shared" ref="Q66:Q97" si="5">P66/(1+J66/100+L66/100*K66/100)</f>
        <v>25.274466578584306</v>
      </c>
      <c r="R66" s="8">
        <v>0</v>
      </c>
      <c r="S66" s="8">
        <v>1</v>
      </c>
      <c r="T66" s="10" t="s">
        <v>89</v>
      </c>
    </row>
    <row r="67" spans="1:20" ht="26.25" x14ac:dyDescent="0.45">
      <c r="A67" s="8" t="s">
        <v>25</v>
      </c>
      <c r="B67" s="8" t="s">
        <v>26</v>
      </c>
      <c r="C67" s="8" t="s">
        <v>85</v>
      </c>
      <c r="D67" s="8" t="s">
        <v>86</v>
      </c>
      <c r="E67" s="8" t="s">
        <v>73</v>
      </c>
      <c r="F67" s="8" t="s">
        <v>87</v>
      </c>
      <c r="G67" s="8" t="s">
        <v>78</v>
      </c>
      <c r="H67" s="8" t="s">
        <v>88</v>
      </c>
      <c r="I67" s="9">
        <v>15</v>
      </c>
      <c r="J67" s="9">
        <v>7.18</v>
      </c>
      <c r="K67" s="9">
        <v>6.7</v>
      </c>
      <c r="L67" s="9">
        <v>43.2</v>
      </c>
      <c r="M67" s="9">
        <v>4.4000000000000004</v>
      </c>
      <c r="N67" s="9">
        <v>16.3</v>
      </c>
      <c r="O67" s="9">
        <v>0</v>
      </c>
      <c r="P67" s="9">
        <f t="shared" si="4"/>
        <v>28.179400000000001</v>
      </c>
      <c r="Q67" s="9">
        <f t="shared" si="5"/>
        <v>25.600321237272244</v>
      </c>
      <c r="R67" s="8">
        <v>0</v>
      </c>
      <c r="S67" s="8">
        <v>1</v>
      </c>
      <c r="T67" s="10" t="s">
        <v>89</v>
      </c>
    </row>
    <row r="68" spans="1:20" x14ac:dyDescent="0.45">
      <c r="A68" s="8" t="s">
        <v>28</v>
      </c>
      <c r="B68" s="8" t="s">
        <v>29</v>
      </c>
      <c r="C68" s="8" t="s">
        <v>71</v>
      </c>
      <c r="D68" s="8" t="s">
        <v>72</v>
      </c>
      <c r="E68" s="8" t="s">
        <v>73</v>
      </c>
      <c r="F68" s="8" t="s">
        <v>74</v>
      </c>
      <c r="G68" s="8" t="s">
        <v>75</v>
      </c>
      <c r="H68" s="8" t="s">
        <v>76</v>
      </c>
      <c r="I68" s="9">
        <v>15</v>
      </c>
      <c r="J68" s="9">
        <v>3.4</v>
      </c>
      <c r="K68" s="9">
        <v>3.4</v>
      </c>
      <c r="L68" s="9">
        <v>43.2</v>
      </c>
      <c r="M68" s="9">
        <v>4.4000000000000004</v>
      </c>
      <c r="N68" s="9">
        <v>16.3</v>
      </c>
      <c r="O68" s="9">
        <v>0</v>
      </c>
      <c r="P68" s="9">
        <f t="shared" si="4"/>
        <v>22.973800000000001</v>
      </c>
      <c r="Q68" s="9">
        <f t="shared" si="5"/>
        <v>21.907183070655904</v>
      </c>
      <c r="R68" s="8">
        <v>1</v>
      </c>
      <c r="S68" s="8">
        <v>1</v>
      </c>
      <c r="T68" s="10" t="s">
        <v>77</v>
      </c>
    </row>
    <row r="69" spans="1:20" x14ac:dyDescent="0.45">
      <c r="A69" s="8" t="s">
        <v>28</v>
      </c>
      <c r="B69" s="8" t="s">
        <v>29</v>
      </c>
      <c r="C69" s="8" t="s">
        <v>71</v>
      </c>
      <c r="D69" s="8" t="s">
        <v>72</v>
      </c>
      <c r="E69" s="8" t="s">
        <v>73</v>
      </c>
      <c r="F69" s="8" t="s">
        <v>74</v>
      </c>
      <c r="G69" s="8" t="s">
        <v>78</v>
      </c>
      <c r="H69" s="8" t="s">
        <v>76</v>
      </c>
      <c r="I69" s="9">
        <v>15</v>
      </c>
      <c r="J69" s="9">
        <v>3.65</v>
      </c>
      <c r="K69" s="9">
        <v>3.4</v>
      </c>
      <c r="L69" s="9">
        <v>43.2</v>
      </c>
      <c r="M69" s="9">
        <v>4.4000000000000004</v>
      </c>
      <c r="N69" s="9">
        <v>16.3</v>
      </c>
      <c r="O69" s="9">
        <v>0</v>
      </c>
      <c r="P69" s="9">
        <f t="shared" si="4"/>
        <v>23.223800000000001</v>
      </c>
      <c r="Q69" s="9">
        <f t="shared" si="5"/>
        <v>22.092908214325124</v>
      </c>
      <c r="R69" s="8">
        <v>1</v>
      </c>
      <c r="S69" s="8">
        <v>1</v>
      </c>
      <c r="T69" s="10" t="s">
        <v>79</v>
      </c>
    </row>
    <row r="70" spans="1:20" x14ac:dyDescent="0.45">
      <c r="A70" s="8" t="s">
        <v>28</v>
      </c>
      <c r="B70" s="8" t="s">
        <v>29</v>
      </c>
      <c r="C70" s="8" t="s">
        <v>71</v>
      </c>
      <c r="D70" s="8" t="s">
        <v>72</v>
      </c>
      <c r="E70" s="8" t="s">
        <v>73</v>
      </c>
      <c r="F70" s="8" t="s">
        <v>80</v>
      </c>
      <c r="G70" s="8" t="s">
        <v>75</v>
      </c>
      <c r="H70" s="8" t="s">
        <v>76</v>
      </c>
      <c r="I70" s="9">
        <v>15</v>
      </c>
      <c r="J70" s="9">
        <v>5.0999999999999996</v>
      </c>
      <c r="K70" s="9">
        <v>5.0999999999999996</v>
      </c>
      <c r="L70" s="9">
        <v>43.2</v>
      </c>
      <c r="M70" s="9">
        <v>4.4000000000000004</v>
      </c>
      <c r="N70" s="9">
        <v>16.3</v>
      </c>
      <c r="O70" s="9">
        <v>0</v>
      </c>
      <c r="P70" s="9">
        <f t="shared" si="4"/>
        <v>25.408199999999997</v>
      </c>
      <c r="Q70" s="9">
        <f t="shared" si="5"/>
        <v>23.678883761155305</v>
      </c>
      <c r="R70" s="8">
        <v>1</v>
      </c>
      <c r="S70" s="8">
        <v>1</v>
      </c>
      <c r="T70" s="10" t="s">
        <v>77</v>
      </c>
    </row>
    <row r="71" spans="1:20" x14ac:dyDescent="0.45">
      <c r="A71" s="8" t="s">
        <v>28</v>
      </c>
      <c r="B71" s="8" t="s">
        <v>29</v>
      </c>
      <c r="C71" s="8" t="s">
        <v>71</v>
      </c>
      <c r="D71" s="8" t="s">
        <v>72</v>
      </c>
      <c r="E71" s="8" t="s">
        <v>73</v>
      </c>
      <c r="F71" s="8" t="s">
        <v>80</v>
      </c>
      <c r="G71" s="8" t="s">
        <v>78</v>
      </c>
      <c r="H71" s="8" t="s">
        <v>76</v>
      </c>
      <c r="I71" s="9">
        <v>15</v>
      </c>
      <c r="J71" s="9">
        <v>5.4649999999999999</v>
      </c>
      <c r="K71" s="9">
        <v>5.0999999999999996</v>
      </c>
      <c r="L71" s="9">
        <v>43.2</v>
      </c>
      <c r="M71" s="9">
        <v>4.4000000000000004</v>
      </c>
      <c r="N71" s="9">
        <v>16.3</v>
      </c>
      <c r="O71" s="9">
        <v>0</v>
      </c>
      <c r="P71" s="9">
        <f t="shared" si="4"/>
        <v>25.773199999999999</v>
      </c>
      <c r="Q71" s="9">
        <f t="shared" si="5"/>
        <v>23.937615749125552</v>
      </c>
      <c r="R71" s="8">
        <v>1</v>
      </c>
      <c r="S71" s="8">
        <v>1</v>
      </c>
      <c r="T71" s="10" t="s">
        <v>79</v>
      </c>
    </row>
    <row r="72" spans="1:20" x14ac:dyDescent="0.45">
      <c r="A72" s="8" t="s">
        <v>28</v>
      </c>
      <c r="B72" s="8" t="s">
        <v>29</v>
      </c>
      <c r="C72" s="8" t="s">
        <v>71</v>
      </c>
      <c r="D72" s="8" t="s">
        <v>72</v>
      </c>
      <c r="E72" s="8" t="s">
        <v>73</v>
      </c>
      <c r="F72" s="8" t="s">
        <v>81</v>
      </c>
      <c r="G72" s="8" t="s">
        <v>75</v>
      </c>
      <c r="H72" s="8" t="s">
        <v>82</v>
      </c>
      <c r="I72" s="9">
        <v>23.2</v>
      </c>
      <c r="J72" s="9">
        <v>6.7</v>
      </c>
      <c r="K72" s="9">
        <v>6.7</v>
      </c>
      <c r="L72" s="9">
        <v>43.2</v>
      </c>
      <c r="M72" s="9">
        <v>4.4000000000000004</v>
      </c>
      <c r="N72" s="9">
        <v>16.3</v>
      </c>
      <c r="O72" s="9">
        <v>0</v>
      </c>
      <c r="P72" s="9">
        <f t="shared" si="4"/>
        <v>37.596800000000002</v>
      </c>
      <c r="Q72" s="9">
        <f t="shared" si="5"/>
        <v>34.305402465819419</v>
      </c>
      <c r="R72" s="8">
        <v>1</v>
      </c>
      <c r="S72" s="8">
        <v>1</v>
      </c>
      <c r="T72" s="10" t="s">
        <v>77</v>
      </c>
    </row>
    <row r="73" spans="1:20" x14ac:dyDescent="0.45">
      <c r="A73" s="8" t="s">
        <v>28</v>
      </c>
      <c r="B73" s="8" t="s">
        <v>29</v>
      </c>
      <c r="C73" s="8" t="s">
        <v>71</v>
      </c>
      <c r="D73" s="8" t="s">
        <v>72</v>
      </c>
      <c r="E73" s="8" t="s">
        <v>73</v>
      </c>
      <c r="F73" s="8" t="s">
        <v>81</v>
      </c>
      <c r="G73" s="8" t="s">
        <v>78</v>
      </c>
      <c r="H73" s="8" t="s">
        <v>82</v>
      </c>
      <c r="I73" s="9">
        <v>23.2</v>
      </c>
      <c r="J73" s="9">
        <v>7.18</v>
      </c>
      <c r="K73" s="9">
        <v>6.7</v>
      </c>
      <c r="L73" s="9">
        <v>43.2</v>
      </c>
      <c r="M73" s="9">
        <v>4.4000000000000004</v>
      </c>
      <c r="N73" s="9">
        <v>16.3</v>
      </c>
      <c r="O73" s="9">
        <v>0</v>
      </c>
      <c r="P73" s="9">
        <f t="shared" si="4"/>
        <v>38.076799999999999</v>
      </c>
      <c r="Q73" s="9">
        <f t="shared" si="5"/>
        <v>34.591876040205527</v>
      </c>
      <c r="R73" s="8">
        <v>1</v>
      </c>
      <c r="S73" s="8">
        <v>1</v>
      </c>
      <c r="T73" s="10" t="s">
        <v>79</v>
      </c>
    </row>
    <row r="74" spans="1:20" x14ac:dyDescent="0.45">
      <c r="A74" s="8" t="s">
        <v>28</v>
      </c>
      <c r="B74" s="8" t="s">
        <v>29</v>
      </c>
      <c r="C74" s="8" t="s">
        <v>71</v>
      </c>
      <c r="D74" s="8" t="s">
        <v>72</v>
      </c>
      <c r="E74" s="8" t="s">
        <v>83</v>
      </c>
      <c r="F74" s="8" t="s">
        <v>74</v>
      </c>
      <c r="G74" s="8" t="s">
        <v>78</v>
      </c>
      <c r="H74" s="8" t="s">
        <v>82</v>
      </c>
      <c r="I74" s="9">
        <v>23.2</v>
      </c>
      <c r="J74" s="9">
        <v>0.39500000000000002</v>
      </c>
      <c r="K74" s="9">
        <v>0.3</v>
      </c>
      <c r="L74" s="9">
        <v>414.2</v>
      </c>
      <c r="M74" s="9">
        <v>4.4000000000000004</v>
      </c>
      <c r="N74" s="9">
        <v>16.3</v>
      </c>
      <c r="O74" s="9">
        <v>0</v>
      </c>
      <c r="P74" s="9">
        <f t="shared" si="4"/>
        <v>29.64</v>
      </c>
      <c r="Q74" s="9">
        <f t="shared" si="5"/>
        <v>29.162435948900804</v>
      </c>
      <c r="R74" s="8">
        <v>1</v>
      </c>
      <c r="S74" s="8">
        <v>1</v>
      </c>
      <c r="T74" s="10" t="s">
        <v>84</v>
      </c>
    </row>
    <row r="75" spans="1:20" x14ac:dyDescent="0.45">
      <c r="A75" s="8" t="s">
        <v>28</v>
      </c>
      <c r="B75" s="8" t="s">
        <v>29</v>
      </c>
      <c r="C75" s="8" t="s">
        <v>71</v>
      </c>
      <c r="D75" s="8" t="s">
        <v>72</v>
      </c>
      <c r="E75" s="8" t="s">
        <v>83</v>
      </c>
      <c r="F75" s="8" t="s">
        <v>80</v>
      </c>
      <c r="G75" s="8" t="s">
        <v>78</v>
      </c>
      <c r="H75" s="8" t="s">
        <v>82</v>
      </c>
      <c r="I75" s="9">
        <v>23.2</v>
      </c>
      <c r="J75" s="9">
        <v>0.63500000000000001</v>
      </c>
      <c r="K75" s="9">
        <v>0.5</v>
      </c>
      <c r="L75" s="9">
        <v>414.2</v>
      </c>
      <c r="M75" s="9">
        <v>4.4000000000000004</v>
      </c>
      <c r="N75" s="9">
        <v>16.3</v>
      </c>
      <c r="O75" s="9">
        <v>0</v>
      </c>
      <c r="P75" s="9">
        <f t="shared" si="4"/>
        <v>30.708400000000005</v>
      </c>
      <c r="Q75" s="9">
        <f t="shared" si="5"/>
        <v>29.899324284851911</v>
      </c>
      <c r="R75" s="8">
        <v>1</v>
      </c>
      <c r="S75" s="8">
        <v>1</v>
      </c>
      <c r="T75" s="10" t="s">
        <v>84</v>
      </c>
    </row>
    <row r="76" spans="1:20" x14ac:dyDescent="0.45">
      <c r="A76" s="8" t="s">
        <v>28</v>
      </c>
      <c r="B76" s="8" t="s">
        <v>29</v>
      </c>
      <c r="C76" s="8" t="s">
        <v>71</v>
      </c>
      <c r="D76" s="8" t="s">
        <v>72</v>
      </c>
      <c r="E76" s="8" t="s">
        <v>83</v>
      </c>
      <c r="F76" s="8" t="s">
        <v>81</v>
      </c>
      <c r="G76" s="8" t="s">
        <v>78</v>
      </c>
      <c r="H76" s="8" t="s">
        <v>82</v>
      </c>
      <c r="I76" s="9">
        <v>23.2</v>
      </c>
      <c r="J76" s="9">
        <v>0.88</v>
      </c>
      <c r="K76" s="9">
        <v>0.7</v>
      </c>
      <c r="L76" s="9">
        <v>414.2</v>
      </c>
      <c r="M76" s="9">
        <v>4.4000000000000004</v>
      </c>
      <c r="N76" s="9">
        <v>16.3</v>
      </c>
      <c r="O76" s="9">
        <v>0</v>
      </c>
      <c r="P76" s="9">
        <f t="shared" si="4"/>
        <v>31.7818</v>
      </c>
      <c r="Q76" s="9">
        <f t="shared" si="5"/>
        <v>30.624382102806535</v>
      </c>
      <c r="R76" s="8">
        <v>1</v>
      </c>
      <c r="S76" s="8">
        <v>1</v>
      </c>
      <c r="T76" s="10" t="s">
        <v>84</v>
      </c>
    </row>
    <row r="77" spans="1:20" ht="26.25" x14ac:dyDescent="0.45">
      <c r="A77" s="8" t="s">
        <v>28</v>
      </c>
      <c r="B77" s="8" t="s">
        <v>29</v>
      </c>
      <c r="C77" s="8" t="s">
        <v>85</v>
      </c>
      <c r="D77" s="8" t="s">
        <v>86</v>
      </c>
      <c r="E77" s="8" t="s">
        <v>73</v>
      </c>
      <c r="F77" s="8" t="s">
        <v>87</v>
      </c>
      <c r="G77" s="8" t="s">
        <v>75</v>
      </c>
      <c r="H77" s="8" t="s">
        <v>88</v>
      </c>
      <c r="I77" s="9">
        <v>15</v>
      </c>
      <c r="J77" s="9">
        <v>6.7</v>
      </c>
      <c r="K77" s="9">
        <v>6.7</v>
      </c>
      <c r="L77" s="9">
        <v>43.2</v>
      </c>
      <c r="M77" s="9">
        <v>4.4000000000000004</v>
      </c>
      <c r="N77" s="9">
        <v>16.3</v>
      </c>
      <c r="O77" s="9">
        <v>0</v>
      </c>
      <c r="P77" s="9">
        <f t="shared" si="4"/>
        <v>27.699400000000001</v>
      </c>
      <c r="Q77" s="9">
        <f t="shared" si="5"/>
        <v>25.274466578584306</v>
      </c>
      <c r="R77" s="8">
        <v>0</v>
      </c>
      <c r="S77" s="8">
        <v>1</v>
      </c>
      <c r="T77" s="10" t="s">
        <v>89</v>
      </c>
    </row>
    <row r="78" spans="1:20" ht="26.25" x14ac:dyDescent="0.45">
      <c r="A78" s="8" t="s">
        <v>28</v>
      </c>
      <c r="B78" s="8" t="s">
        <v>29</v>
      </c>
      <c r="C78" s="8" t="s">
        <v>85</v>
      </c>
      <c r="D78" s="8" t="s">
        <v>86</v>
      </c>
      <c r="E78" s="8" t="s">
        <v>73</v>
      </c>
      <c r="F78" s="8" t="s">
        <v>87</v>
      </c>
      <c r="G78" s="8" t="s">
        <v>78</v>
      </c>
      <c r="H78" s="8" t="s">
        <v>88</v>
      </c>
      <c r="I78" s="9">
        <v>15</v>
      </c>
      <c r="J78" s="9">
        <v>7.18</v>
      </c>
      <c r="K78" s="9">
        <v>6.7</v>
      </c>
      <c r="L78" s="9">
        <v>43.2</v>
      </c>
      <c r="M78" s="9">
        <v>4.4000000000000004</v>
      </c>
      <c r="N78" s="9">
        <v>16.3</v>
      </c>
      <c r="O78" s="9">
        <v>0</v>
      </c>
      <c r="P78" s="9">
        <f t="shared" si="4"/>
        <v>28.179400000000001</v>
      </c>
      <c r="Q78" s="9">
        <f t="shared" si="5"/>
        <v>25.600321237272244</v>
      </c>
      <c r="R78" s="8">
        <v>0</v>
      </c>
      <c r="S78" s="8">
        <v>1</v>
      </c>
      <c r="T78" s="10" t="s">
        <v>89</v>
      </c>
    </row>
    <row r="79" spans="1:20" ht="39.4" x14ac:dyDescent="0.45">
      <c r="A79" s="8" t="s">
        <v>28</v>
      </c>
      <c r="B79" s="8" t="s">
        <v>29</v>
      </c>
      <c r="C79" s="8" t="s">
        <v>85</v>
      </c>
      <c r="D79" s="8" t="s">
        <v>90</v>
      </c>
      <c r="E79" s="8" t="s">
        <v>73</v>
      </c>
      <c r="F79" s="8" t="s">
        <v>87</v>
      </c>
      <c r="G79" s="8" t="s">
        <v>78</v>
      </c>
      <c r="H79" s="8" t="s">
        <v>91</v>
      </c>
      <c r="I79" s="9">
        <v>19</v>
      </c>
      <c r="J79" s="9">
        <v>7.18</v>
      </c>
      <c r="K79" s="9">
        <v>6.7</v>
      </c>
      <c r="L79" s="9">
        <v>43.2</v>
      </c>
      <c r="M79" s="9">
        <v>4.4000000000000004</v>
      </c>
      <c r="N79" s="9">
        <v>16.3</v>
      </c>
      <c r="O79" s="9">
        <v>0</v>
      </c>
      <c r="P79" s="9">
        <f t="shared" si="4"/>
        <v>33.007399999999997</v>
      </c>
      <c r="Q79" s="9">
        <f t="shared" si="5"/>
        <v>29.986445531386035</v>
      </c>
      <c r="R79" s="8">
        <v>0</v>
      </c>
      <c r="S79" s="8">
        <v>1</v>
      </c>
      <c r="T79" s="10" t="s">
        <v>92</v>
      </c>
    </row>
    <row r="80" spans="1:20" x14ac:dyDescent="0.45">
      <c r="A80" s="8" t="s">
        <v>28</v>
      </c>
      <c r="B80" s="8" t="s">
        <v>29</v>
      </c>
      <c r="C80" s="8" t="s">
        <v>85</v>
      </c>
      <c r="D80" s="8" t="s">
        <v>90</v>
      </c>
      <c r="E80" s="8" t="s">
        <v>73</v>
      </c>
      <c r="F80" s="8" t="s">
        <v>74</v>
      </c>
      <c r="G80" s="8" t="s">
        <v>78</v>
      </c>
      <c r="H80" s="8" t="s">
        <v>91</v>
      </c>
      <c r="I80" s="9">
        <v>19</v>
      </c>
      <c r="J80" s="9">
        <v>3.65</v>
      </c>
      <c r="K80" s="9">
        <v>3.4</v>
      </c>
      <c r="L80" s="9">
        <v>43.2</v>
      </c>
      <c r="M80" s="9">
        <v>4.4000000000000004</v>
      </c>
      <c r="N80" s="9">
        <v>16.3</v>
      </c>
      <c r="O80" s="9">
        <v>0</v>
      </c>
      <c r="P80" s="9">
        <f t="shared" si="4"/>
        <v>28.0518</v>
      </c>
      <c r="Q80" s="9">
        <f t="shared" si="5"/>
        <v>26.685806915604058</v>
      </c>
      <c r="R80" s="8">
        <v>0</v>
      </c>
      <c r="S80" s="8">
        <v>1</v>
      </c>
      <c r="T80" s="10" t="s">
        <v>93</v>
      </c>
    </row>
    <row r="81" spans="1:20" x14ac:dyDescent="0.45">
      <c r="A81" s="8" t="s">
        <v>28</v>
      </c>
      <c r="B81" s="8" t="s">
        <v>29</v>
      </c>
      <c r="C81" s="8" t="s">
        <v>85</v>
      </c>
      <c r="D81" s="8" t="s">
        <v>90</v>
      </c>
      <c r="E81" s="8" t="s">
        <v>73</v>
      </c>
      <c r="F81" s="8" t="s">
        <v>80</v>
      </c>
      <c r="G81" s="8" t="s">
        <v>78</v>
      </c>
      <c r="H81" s="8" t="s">
        <v>91</v>
      </c>
      <c r="I81" s="9">
        <v>19</v>
      </c>
      <c r="J81" s="9">
        <v>5.4649999999999999</v>
      </c>
      <c r="K81" s="9">
        <v>5.0999999999999996</v>
      </c>
      <c r="L81" s="9">
        <v>43.2</v>
      </c>
      <c r="M81" s="9">
        <v>4.4000000000000004</v>
      </c>
      <c r="N81" s="9">
        <v>16.3</v>
      </c>
      <c r="O81" s="9">
        <v>0</v>
      </c>
      <c r="P81" s="9">
        <f t="shared" si="4"/>
        <v>30.601199999999999</v>
      </c>
      <c r="Q81" s="9">
        <f t="shared" si="5"/>
        <v>28.421762414529077</v>
      </c>
      <c r="R81" s="8">
        <v>0</v>
      </c>
      <c r="S81" s="8">
        <v>1</v>
      </c>
      <c r="T81" s="10" t="s">
        <v>93</v>
      </c>
    </row>
    <row r="82" spans="1:20" x14ac:dyDescent="0.45">
      <c r="A82" s="8" t="s">
        <v>31</v>
      </c>
      <c r="B82" s="8" t="s">
        <v>32</v>
      </c>
      <c r="C82" s="8" t="s">
        <v>71</v>
      </c>
      <c r="D82" s="8" t="s">
        <v>72</v>
      </c>
      <c r="E82" s="8" t="s">
        <v>73</v>
      </c>
      <c r="F82" s="8" t="s">
        <v>74</v>
      </c>
      <c r="G82" s="8" t="s">
        <v>75</v>
      </c>
      <c r="H82" s="8" t="s">
        <v>76</v>
      </c>
      <c r="I82" s="9">
        <v>15</v>
      </c>
      <c r="J82" s="9">
        <v>3.5</v>
      </c>
      <c r="K82" s="9">
        <v>3.5</v>
      </c>
      <c r="L82" s="9">
        <v>37</v>
      </c>
      <c r="M82" s="9">
        <v>10.3</v>
      </c>
      <c r="N82" s="9">
        <v>10.4</v>
      </c>
      <c r="O82" s="9">
        <v>0</v>
      </c>
      <c r="P82" s="9">
        <f t="shared" si="4"/>
        <v>22.9</v>
      </c>
      <c r="Q82" s="9">
        <f t="shared" si="5"/>
        <v>21.852187604370439</v>
      </c>
      <c r="R82" s="8">
        <v>1</v>
      </c>
      <c r="S82" s="8">
        <v>1</v>
      </c>
      <c r="T82" s="10" t="s">
        <v>77</v>
      </c>
    </row>
    <row r="83" spans="1:20" x14ac:dyDescent="0.45">
      <c r="A83" s="8" t="s">
        <v>31</v>
      </c>
      <c r="B83" s="8" t="s">
        <v>32</v>
      </c>
      <c r="C83" s="8" t="s">
        <v>71</v>
      </c>
      <c r="D83" s="8" t="s">
        <v>72</v>
      </c>
      <c r="E83" s="8" t="s">
        <v>73</v>
      </c>
      <c r="F83" s="8" t="s">
        <v>74</v>
      </c>
      <c r="G83" s="8" t="s">
        <v>78</v>
      </c>
      <c r="H83" s="8" t="s">
        <v>76</v>
      </c>
      <c r="I83" s="9">
        <v>15</v>
      </c>
      <c r="J83" s="9">
        <v>3.75</v>
      </c>
      <c r="K83" s="9">
        <v>3.5</v>
      </c>
      <c r="L83" s="9">
        <v>37</v>
      </c>
      <c r="M83" s="9">
        <v>10.3</v>
      </c>
      <c r="N83" s="9">
        <v>10.4</v>
      </c>
      <c r="O83" s="9">
        <v>0</v>
      </c>
      <c r="P83" s="9">
        <f t="shared" si="4"/>
        <v>23.15</v>
      </c>
      <c r="Q83" s="9">
        <f t="shared" si="5"/>
        <v>22.038174115855107</v>
      </c>
      <c r="R83" s="8">
        <v>1</v>
      </c>
      <c r="S83" s="8">
        <v>1</v>
      </c>
      <c r="T83" s="10" t="s">
        <v>79</v>
      </c>
    </row>
    <row r="84" spans="1:20" x14ac:dyDescent="0.45">
      <c r="A84" s="8" t="s">
        <v>31</v>
      </c>
      <c r="B84" s="8" t="s">
        <v>32</v>
      </c>
      <c r="C84" s="8" t="s">
        <v>71</v>
      </c>
      <c r="D84" s="8" t="s">
        <v>72</v>
      </c>
      <c r="E84" s="8" t="s">
        <v>73</v>
      </c>
      <c r="F84" s="8" t="s">
        <v>80</v>
      </c>
      <c r="G84" s="8" t="s">
        <v>75</v>
      </c>
      <c r="H84" s="8" t="s">
        <v>76</v>
      </c>
      <c r="I84" s="9">
        <v>15</v>
      </c>
      <c r="J84" s="9">
        <v>5.3</v>
      </c>
      <c r="K84" s="9">
        <v>5.3</v>
      </c>
      <c r="L84" s="9">
        <v>37</v>
      </c>
      <c r="M84" s="9">
        <v>10.3</v>
      </c>
      <c r="N84" s="9">
        <v>10.4</v>
      </c>
      <c r="O84" s="9">
        <v>0</v>
      </c>
      <c r="P84" s="9">
        <f t="shared" si="4"/>
        <v>25.366</v>
      </c>
      <c r="Q84" s="9">
        <f t="shared" si="5"/>
        <v>23.648856527535642</v>
      </c>
      <c r="R84" s="8">
        <v>1</v>
      </c>
      <c r="S84" s="8">
        <v>1</v>
      </c>
      <c r="T84" s="10" t="s">
        <v>77</v>
      </c>
    </row>
    <row r="85" spans="1:20" x14ac:dyDescent="0.45">
      <c r="A85" s="8" t="s">
        <v>31</v>
      </c>
      <c r="B85" s="8" t="s">
        <v>32</v>
      </c>
      <c r="C85" s="8" t="s">
        <v>71</v>
      </c>
      <c r="D85" s="8" t="s">
        <v>72</v>
      </c>
      <c r="E85" s="8" t="s">
        <v>73</v>
      </c>
      <c r="F85" s="8" t="s">
        <v>80</v>
      </c>
      <c r="G85" s="8" t="s">
        <v>78</v>
      </c>
      <c r="H85" s="8" t="s">
        <v>76</v>
      </c>
      <c r="I85" s="9">
        <v>15</v>
      </c>
      <c r="J85" s="9">
        <v>5.665</v>
      </c>
      <c r="K85" s="9">
        <v>5.3</v>
      </c>
      <c r="L85" s="9">
        <v>37</v>
      </c>
      <c r="M85" s="9">
        <v>10.3</v>
      </c>
      <c r="N85" s="9">
        <v>10.4</v>
      </c>
      <c r="O85" s="9">
        <v>0</v>
      </c>
      <c r="P85" s="9">
        <f t="shared" si="4"/>
        <v>25.730999999999998</v>
      </c>
      <c r="Q85" s="9">
        <f t="shared" si="5"/>
        <v>23.907791797521043</v>
      </c>
      <c r="R85" s="8">
        <v>1</v>
      </c>
      <c r="S85" s="8">
        <v>1</v>
      </c>
      <c r="T85" s="10" t="s">
        <v>79</v>
      </c>
    </row>
    <row r="86" spans="1:20" x14ac:dyDescent="0.45">
      <c r="A86" s="8" t="s">
        <v>31</v>
      </c>
      <c r="B86" s="8" t="s">
        <v>32</v>
      </c>
      <c r="C86" s="8" t="s">
        <v>71</v>
      </c>
      <c r="D86" s="8" t="s">
        <v>72</v>
      </c>
      <c r="E86" s="8" t="s">
        <v>73</v>
      </c>
      <c r="F86" s="8" t="s">
        <v>81</v>
      </c>
      <c r="G86" s="8" t="s">
        <v>75</v>
      </c>
      <c r="H86" s="8" t="s">
        <v>82</v>
      </c>
      <c r="I86" s="9">
        <v>23.2</v>
      </c>
      <c r="J86" s="9">
        <v>7</v>
      </c>
      <c r="K86" s="9">
        <v>7</v>
      </c>
      <c r="L86" s="9">
        <v>37</v>
      </c>
      <c r="M86" s="9">
        <v>10.3</v>
      </c>
      <c r="N86" s="9">
        <v>10.4</v>
      </c>
      <c r="O86" s="9">
        <v>0</v>
      </c>
      <c r="P86" s="9">
        <f t="shared" si="4"/>
        <v>37.592399999999998</v>
      </c>
      <c r="Q86" s="9">
        <f t="shared" si="5"/>
        <v>34.302764850807549</v>
      </c>
      <c r="R86" s="8">
        <v>1</v>
      </c>
      <c r="S86" s="8">
        <v>1</v>
      </c>
      <c r="T86" s="10" t="s">
        <v>77</v>
      </c>
    </row>
    <row r="87" spans="1:20" x14ac:dyDescent="0.45">
      <c r="A87" s="8" t="s">
        <v>31</v>
      </c>
      <c r="B87" s="8" t="s">
        <v>32</v>
      </c>
      <c r="C87" s="8" t="s">
        <v>71</v>
      </c>
      <c r="D87" s="8" t="s">
        <v>72</v>
      </c>
      <c r="E87" s="8" t="s">
        <v>73</v>
      </c>
      <c r="F87" s="8" t="s">
        <v>81</v>
      </c>
      <c r="G87" s="8" t="s">
        <v>78</v>
      </c>
      <c r="H87" s="8" t="s">
        <v>82</v>
      </c>
      <c r="I87" s="9">
        <v>23.2</v>
      </c>
      <c r="J87" s="9">
        <v>7.48</v>
      </c>
      <c r="K87" s="9">
        <v>7</v>
      </c>
      <c r="L87" s="9">
        <v>37</v>
      </c>
      <c r="M87" s="9">
        <v>10.3</v>
      </c>
      <c r="N87" s="9">
        <v>10.4</v>
      </c>
      <c r="O87" s="9">
        <v>0</v>
      </c>
      <c r="P87" s="9">
        <f t="shared" si="4"/>
        <v>38.072400000000002</v>
      </c>
      <c r="Q87" s="9">
        <f t="shared" si="5"/>
        <v>34.589261379122377</v>
      </c>
      <c r="R87" s="8">
        <v>1</v>
      </c>
      <c r="S87" s="8">
        <v>1</v>
      </c>
      <c r="T87" s="10" t="s">
        <v>79</v>
      </c>
    </row>
    <row r="88" spans="1:20" x14ac:dyDescent="0.45">
      <c r="A88" s="8" t="s">
        <v>31</v>
      </c>
      <c r="B88" s="8" t="s">
        <v>32</v>
      </c>
      <c r="C88" s="8" t="s">
        <v>71</v>
      </c>
      <c r="D88" s="8" t="s">
        <v>72</v>
      </c>
      <c r="E88" s="8" t="s">
        <v>83</v>
      </c>
      <c r="F88" s="8" t="s">
        <v>74</v>
      </c>
      <c r="G88" s="8" t="s">
        <v>78</v>
      </c>
      <c r="H88" s="8" t="s">
        <v>82</v>
      </c>
      <c r="I88" s="9">
        <v>23.2</v>
      </c>
      <c r="J88" s="9">
        <v>0.495</v>
      </c>
      <c r="K88" s="9">
        <v>0.4</v>
      </c>
      <c r="L88" s="9">
        <v>260</v>
      </c>
      <c r="M88" s="9">
        <v>10.3</v>
      </c>
      <c r="N88" s="9">
        <v>10.4</v>
      </c>
      <c r="O88" s="9">
        <v>0</v>
      </c>
      <c r="P88" s="9">
        <f t="shared" si="4"/>
        <v>29.537400000000002</v>
      </c>
      <c r="Q88" s="9">
        <f t="shared" si="5"/>
        <v>29.090855370069438</v>
      </c>
      <c r="R88" s="8">
        <v>1</v>
      </c>
      <c r="S88" s="8">
        <v>1</v>
      </c>
      <c r="T88" s="10" t="s">
        <v>84</v>
      </c>
    </row>
    <row r="89" spans="1:20" x14ac:dyDescent="0.45">
      <c r="A89" s="8" t="s">
        <v>31</v>
      </c>
      <c r="B89" s="8" t="s">
        <v>32</v>
      </c>
      <c r="C89" s="8" t="s">
        <v>71</v>
      </c>
      <c r="D89" s="8" t="s">
        <v>72</v>
      </c>
      <c r="E89" s="8" t="s">
        <v>83</v>
      </c>
      <c r="F89" s="8" t="s">
        <v>80</v>
      </c>
      <c r="G89" s="8" t="s">
        <v>78</v>
      </c>
      <c r="H89" s="8" t="s">
        <v>82</v>
      </c>
      <c r="I89" s="9">
        <v>23.2</v>
      </c>
      <c r="J89" s="9">
        <v>0.83499999999999996</v>
      </c>
      <c r="K89" s="9">
        <v>0.7</v>
      </c>
      <c r="L89" s="9">
        <v>260</v>
      </c>
      <c r="M89" s="9">
        <v>10.3</v>
      </c>
      <c r="N89" s="9">
        <v>10.4</v>
      </c>
      <c r="O89" s="9">
        <v>0</v>
      </c>
      <c r="P89" s="9">
        <f t="shared" si="4"/>
        <v>30.657400000000003</v>
      </c>
      <c r="Q89" s="9">
        <f t="shared" si="5"/>
        <v>29.864497589011737</v>
      </c>
      <c r="R89" s="8">
        <v>1</v>
      </c>
      <c r="S89" s="8">
        <v>1</v>
      </c>
      <c r="T89" s="10" t="s">
        <v>84</v>
      </c>
    </row>
    <row r="90" spans="1:20" x14ac:dyDescent="0.45">
      <c r="A90" s="8" t="s">
        <v>31</v>
      </c>
      <c r="B90" s="8" t="s">
        <v>32</v>
      </c>
      <c r="C90" s="8" t="s">
        <v>71</v>
      </c>
      <c r="D90" s="8" t="s">
        <v>72</v>
      </c>
      <c r="E90" s="8" t="s">
        <v>83</v>
      </c>
      <c r="F90" s="8" t="s">
        <v>81</v>
      </c>
      <c r="G90" s="8" t="s">
        <v>78</v>
      </c>
      <c r="H90" s="8" t="s">
        <v>82</v>
      </c>
      <c r="I90" s="9">
        <v>23.2</v>
      </c>
      <c r="J90" s="9">
        <v>1.18</v>
      </c>
      <c r="K90" s="9">
        <v>1</v>
      </c>
      <c r="L90" s="9">
        <v>260</v>
      </c>
      <c r="M90" s="9">
        <v>10.3</v>
      </c>
      <c r="N90" s="9">
        <v>10.4</v>
      </c>
      <c r="O90" s="9">
        <v>0</v>
      </c>
      <c r="P90" s="9">
        <f t="shared" si="4"/>
        <v>31.782400000000003</v>
      </c>
      <c r="Q90" s="9">
        <f t="shared" si="5"/>
        <v>30.624783195220662</v>
      </c>
      <c r="R90" s="8">
        <v>1</v>
      </c>
      <c r="S90" s="8">
        <v>1</v>
      </c>
      <c r="T90" s="10" t="s">
        <v>84</v>
      </c>
    </row>
    <row r="91" spans="1:20" ht="26.25" x14ac:dyDescent="0.45">
      <c r="A91" s="8" t="s">
        <v>31</v>
      </c>
      <c r="B91" s="8" t="s">
        <v>32</v>
      </c>
      <c r="C91" s="8" t="s">
        <v>85</v>
      </c>
      <c r="D91" s="8" t="s">
        <v>86</v>
      </c>
      <c r="E91" s="8" t="s">
        <v>73</v>
      </c>
      <c r="F91" s="8" t="s">
        <v>87</v>
      </c>
      <c r="G91" s="8" t="s">
        <v>75</v>
      </c>
      <c r="H91" s="8" t="s">
        <v>88</v>
      </c>
      <c r="I91" s="9">
        <v>15</v>
      </c>
      <c r="J91" s="9">
        <v>7</v>
      </c>
      <c r="K91" s="9">
        <v>7</v>
      </c>
      <c r="L91" s="9">
        <v>37</v>
      </c>
      <c r="M91" s="9">
        <v>10.3</v>
      </c>
      <c r="N91" s="9">
        <v>10.4</v>
      </c>
      <c r="O91" s="9">
        <v>0</v>
      </c>
      <c r="P91" s="9">
        <f t="shared" si="4"/>
        <v>27.695</v>
      </c>
      <c r="Q91" s="9">
        <f t="shared" si="5"/>
        <v>25.27146637466922</v>
      </c>
      <c r="R91" s="8">
        <v>0</v>
      </c>
      <c r="S91" s="8">
        <v>1</v>
      </c>
      <c r="T91" s="10" t="s">
        <v>89</v>
      </c>
    </row>
    <row r="92" spans="1:20" ht="26.25" x14ac:dyDescent="0.45">
      <c r="A92" s="8" t="s">
        <v>31</v>
      </c>
      <c r="B92" s="8" t="s">
        <v>32</v>
      </c>
      <c r="C92" s="8" t="s">
        <v>85</v>
      </c>
      <c r="D92" s="8" t="s">
        <v>86</v>
      </c>
      <c r="E92" s="8" t="s">
        <v>73</v>
      </c>
      <c r="F92" s="8" t="s">
        <v>87</v>
      </c>
      <c r="G92" s="8" t="s">
        <v>78</v>
      </c>
      <c r="H92" s="8" t="s">
        <v>88</v>
      </c>
      <c r="I92" s="9">
        <v>15</v>
      </c>
      <c r="J92" s="9">
        <v>7.48</v>
      </c>
      <c r="K92" s="9">
        <v>7</v>
      </c>
      <c r="L92" s="9">
        <v>37</v>
      </c>
      <c r="M92" s="9">
        <v>10.3</v>
      </c>
      <c r="N92" s="9">
        <v>10.4</v>
      </c>
      <c r="O92" s="9">
        <v>0</v>
      </c>
      <c r="P92" s="9">
        <f t="shared" si="4"/>
        <v>28.175000000000001</v>
      </c>
      <c r="Q92" s="9">
        <f t="shared" si="5"/>
        <v>25.597347142727354</v>
      </c>
      <c r="R92" s="8">
        <v>0</v>
      </c>
      <c r="S92" s="8">
        <v>1</v>
      </c>
      <c r="T92" s="10" t="s">
        <v>89</v>
      </c>
    </row>
    <row r="93" spans="1:20" ht="39.4" x14ac:dyDescent="0.45">
      <c r="A93" s="8" t="s">
        <v>31</v>
      </c>
      <c r="B93" s="8" t="s">
        <v>32</v>
      </c>
      <c r="C93" s="8" t="s">
        <v>85</v>
      </c>
      <c r="D93" s="8" t="s">
        <v>90</v>
      </c>
      <c r="E93" s="8" t="s">
        <v>73</v>
      </c>
      <c r="F93" s="8" t="s">
        <v>87</v>
      </c>
      <c r="G93" s="8" t="s">
        <v>78</v>
      </c>
      <c r="H93" s="8" t="s">
        <v>91</v>
      </c>
      <c r="I93" s="9">
        <v>19</v>
      </c>
      <c r="J93" s="9">
        <v>7.48</v>
      </c>
      <c r="K93" s="9">
        <v>7</v>
      </c>
      <c r="L93" s="9">
        <v>37</v>
      </c>
      <c r="M93" s="9">
        <v>10.3</v>
      </c>
      <c r="N93" s="9">
        <v>10.4</v>
      </c>
      <c r="O93" s="9">
        <v>0</v>
      </c>
      <c r="P93" s="9">
        <f t="shared" si="4"/>
        <v>33.003</v>
      </c>
      <c r="Q93" s="9">
        <f t="shared" si="5"/>
        <v>29.983646770237122</v>
      </c>
      <c r="R93" s="8">
        <v>0</v>
      </c>
      <c r="S93" s="8">
        <v>1</v>
      </c>
      <c r="T93" s="10" t="s">
        <v>92</v>
      </c>
    </row>
    <row r="94" spans="1:20" x14ac:dyDescent="0.45">
      <c r="A94" s="8" t="s">
        <v>31</v>
      </c>
      <c r="B94" s="8" t="s">
        <v>32</v>
      </c>
      <c r="C94" s="8" t="s">
        <v>85</v>
      </c>
      <c r="D94" s="8" t="s">
        <v>90</v>
      </c>
      <c r="E94" s="8" t="s">
        <v>73</v>
      </c>
      <c r="F94" s="8" t="s">
        <v>74</v>
      </c>
      <c r="G94" s="8" t="s">
        <v>78</v>
      </c>
      <c r="H94" s="8" t="s">
        <v>91</v>
      </c>
      <c r="I94" s="9">
        <v>19</v>
      </c>
      <c r="J94" s="9">
        <v>3.75</v>
      </c>
      <c r="K94" s="9">
        <v>3.5</v>
      </c>
      <c r="L94" s="9">
        <v>37</v>
      </c>
      <c r="M94" s="9">
        <v>10.3</v>
      </c>
      <c r="N94" s="9">
        <v>10.4</v>
      </c>
      <c r="O94" s="9">
        <v>0</v>
      </c>
      <c r="P94" s="9">
        <f t="shared" si="4"/>
        <v>27.978000000000002</v>
      </c>
      <c r="Q94" s="9">
        <f t="shared" si="5"/>
        <v>26.63429958589176</v>
      </c>
      <c r="R94" s="8">
        <v>0</v>
      </c>
      <c r="S94" s="8">
        <v>1</v>
      </c>
      <c r="T94" s="10" t="s">
        <v>93</v>
      </c>
    </row>
    <row r="95" spans="1:20" x14ac:dyDescent="0.45">
      <c r="A95" s="8" t="s">
        <v>31</v>
      </c>
      <c r="B95" s="8" t="s">
        <v>32</v>
      </c>
      <c r="C95" s="8" t="s">
        <v>85</v>
      </c>
      <c r="D95" s="8" t="s">
        <v>90</v>
      </c>
      <c r="E95" s="8" t="s">
        <v>73</v>
      </c>
      <c r="F95" s="8" t="s">
        <v>80</v>
      </c>
      <c r="G95" s="8" t="s">
        <v>78</v>
      </c>
      <c r="H95" s="8" t="s">
        <v>91</v>
      </c>
      <c r="I95" s="9">
        <v>19</v>
      </c>
      <c r="J95" s="9">
        <v>5.665</v>
      </c>
      <c r="K95" s="9">
        <v>5.3</v>
      </c>
      <c r="L95" s="9">
        <v>37</v>
      </c>
      <c r="M95" s="9">
        <v>10.3</v>
      </c>
      <c r="N95" s="9">
        <v>10.4</v>
      </c>
      <c r="O95" s="9">
        <v>0</v>
      </c>
      <c r="P95" s="9">
        <f t="shared" si="4"/>
        <v>30.558999999999997</v>
      </c>
      <c r="Q95" s="9">
        <f t="shared" si="5"/>
        <v>28.393696690390797</v>
      </c>
      <c r="R95" s="8">
        <v>0</v>
      </c>
      <c r="S95" s="8">
        <v>1</v>
      </c>
      <c r="T95" s="10" t="s">
        <v>93</v>
      </c>
    </row>
    <row r="96" spans="1:20" x14ac:dyDescent="0.45">
      <c r="A96" s="8" t="s">
        <v>34</v>
      </c>
      <c r="B96" s="8" t="s">
        <v>35</v>
      </c>
      <c r="C96" s="8" t="s">
        <v>71</v>
      </c>
      <c r="D96" s="8" t="s">
        <v>72</v>
      </c>
      <c r="E96" s="8" t="s">
        <v>73</v>
      </c>
      <c r="F96" s="8" t="s">
        <v>74</v>
      </c>
      <c r="G96" s="8" t="s">
        <v>75</v>
      </c>
      <c r="H96" s="8" t="s">
        <v>76</v>
      </c>
      <c r="I96" s="9">
        <v>15</v>
      </c>
      <c r="J96" s="9">
        <v>3.5</v>
      </c>
      <c r="K96" s="9">
        <v>3.5</v>
      </c>
      <c r="L96" s="9">
        <v>37</v>
      </c>
      <c r="M96" s="9">
        <v>10.3</v>
      </c>
      <c r="N96" s="9">
        <v>10.4</v>
      </c>
      <c r="O96" s="9">
        <v>0</v>
      </c>
      <c r="P96" s="9">
        <f t="shared" si="4"/>
        <v>22.9</v>
      </c>
      <c r="Q96" s="9">
        <f t="shared" si="5"/>
        <v>21.852187604370439</v>
      </c>
      <c r="R96" s="8">
        <v>1</v>
      </c>
      <c r="S96" s="8">
        <v>1</v>
      </c>
      <c r="T96" s="10" t="s">
        <v>77</v>
      </c>
    </row>
    <row r="97" spans="1:20" x14ac:dyDescent="0.45">
      <c r="A97" s="8" t="s">
        <v>34</v>
      </c>
      <c r="B97" s="8" t="s">
        <v>35</v>
      </c>
      <c r="C97" s="8" t="s">
        <v>71</v>
      </c>
      <c r="D97" s="8" t="s">
        <v>72</v>
      </c>
      <c r="E97" s="8" t="s">
        <v>73</v>
      </c>
      <c r="F97" s="8" t="s">
        <v>74</v>
      </c>
      <c r="G97" s="8" t="s">
        <v>78</v>
      </c>
      <c r="H97" s="8" t="s">
        <v>76</v>
      </c>
      <c r="I97" s="9">
        <v>15</v>
      </c>
      <c r="J97" s="9">
        <v>3.75</v>
      </c>
      <c r="K97" s="9">
        <v>3.5</v>
      </c>
      <c r="L97" s="9">
        <v>37</v>
      </c>
      <c r="M97" s="9">
        <v>10.3</v>
      </c>
      <c r="N97" s="9">
        <v>10.4</v>
      </c>
      <c r="O97" s="9">
        <v>0</v>
      </c>
      <c r="P97" s="9">
        <f t="shared" si="4"/>
        <v>23.15</v>
      </c>
      <c r="Q97" s="9">
        <f t="shared" si="5"/>
        <v>22.038174115855107</v>
      </c>
      <c r="R97" s="8">
        <v>1</v>
      </c>
      <c r="S97" s="8">
        <v>1</v>
      </c>
      <c r="T97" s="10" t="s">
        <v>79</v>
      </c>
    </row>
    <row r="98" spans="1:20" x14ac:dyDescent="0.45">
      <c r="A98" s="8" t="s">
        <v>34</v>
      </c>
      <c r="B98" s="8" t="s">
        <v>35</v>
      </c>
      <c r="C98" s="8" t="s">
        <v>71</v>
      </c>
      <c r="D98" s="8" t="s">
        <v>72</v>
      </c>
      <c r="E98" s="8" t="s">
        <v>73</v>
      </c>
      <c r="F98" s="8" t="s">
        <v>80</v>
      </c>
      <c r="G98" s="8" t="s">
        <v>75</v>
      </c>
      <c r="H98" s="8" t="s">
        <v>76</v>
      </c>
      <c r="I98" s="9">
        <v>15</v>
      </c>
      <c r="J98" s="9">
        <v>5.3</v>
      </c>
      <c r="K98" s="9">
        <v>5.3</v>
      </c>
      <c r="L98" s="9">
        <v>37</v>
      </c>
      <c r="M98" s="9">
        <v>10.3</v>
      </c>
      <c r="N98" s="9">
        <v>10.4</v>
      </c>
      <c r="O98" s="9">
        <v>0</v>
      </c>
      <c r="P98" s="9">
        <f t="shared" ref="P98:P129" si="6">I98*(1+M98/100+N98/100+O98/100)+J98+L98/100*K98</f>
        <v>25.366</v>
      </c>
      <c r="Q98" s="9">
        <f t="shared" ref="Q98:Q129" si="7">P98/(1+J98/100+L98/100*K98/100)</f>
        <v>23.648856527535642</v>
      </c>
      <c r="R98" s="8">
        <v>1</v>
      </c>
      <c r="S98" s="8">
        <v>1</v>
      </c>
      <c r="T98" s="10" t="s">
        <v>77</v>
      </c>
    </row>
    <row r="99" spans="1:20" x14ac:dyDescent="0.45">
      <c r="A99" s="8" t="s">
        <v>34</v>
      </c>
      <c r="B99" s="8" t="s">
        <v>35</v>
      </c>
      <c r="C99" s="8" t="s">
        <v>71</v>
      </c>
      <c r="D99" s="8" t="s">
        <v>72</v>
      </c>
      <c r="E99" s="8" t="s">
        <v>73</v>
      </c>
      <c r="F99" s="8" t="s">
        <v>80</v>
      </c>
      <c r="G99" s="8" t="s">
        <v>78</v>
      </c>
      <c r="H99" s="8" t="s">
        <v>76</v>
      </c>
      <c r="I99" s="9">
        <v>15</v>
      </c>
      <c r="J99" s="9">
        <v>5.665</v>
      </c>
      <c r="K99" s="9">
        <v>5.3</v>
      </c>
      <c r="L99" s="9">
        <v>37</v>
      </c>
      <c r="M99" s="9">
        <v>10.3</v>
      </c>
      <c r="N99" s="9">
        <v>10.4</v>
      </c>
      <c r="O99" s="9">
        <v>0</v>
      </c>
      <c r="P99" s="9">
        <f t="shared" si="6"/>
        <v>25.730999999999998</v>
      </c>
      <c r="Q99" s="9">
        <f t="shared" si="7"/>
        <v>23.907791797521043</v>
      </c>
      <c r="R99" s="8">
        <v>1</v>
      </c>
      <c r="S99" s="8">
        <v>1</v>
      </c>
      <c r="T99" s="10" t="s">
        <v>79</v>
      </c>
    </row>
    <row r="100" spans="1:20" x14ac:dyDescent="0.45">
      <c r="A100" s="8" t="s">
        <v>34</v>
      </c>
      <c r="B100" s="8" t="s">
        <v>35</v>
      </c>
      <c r="C100" s="8" t="s">
        <v>71</v>
      </c>
      <c r="D100" s="8" t="s">
        <v>72</v>
      </c>
      <c r="E100" s="8" t="s">
        <v>73</v>
      </c>
      <c r="F100" s="8" t="s">
        <v>81</v>
      </c>
      <c r="G100" s="8" t="s">
        <v>75</v>
      </c>
      <c r="H100" s="8" t="s">
        <v>82</v>
      </c>
      <c r="I100" s="9">
        <v>23.2</v>
      </c>
      <c r="J100" s="9">
        <v>7</v>
      </c>
      <c r="K100" s="9">
        <v>7</v>
      </c>
      <c r="L100" s="9">
        <v>37</v>
      </c>
      <c r="M100" s="9">
        <v>10.3</v>
      </c>
      <c r="N100" s="9">
        <v>10.4</v>
      </c>
      <c r="O100" s="9">
        <v>0</v>
      </c>
      <c r="P100" s="9">
        <f t="shared" si="6"/>
        <v>37.592399999999998</v>
      </c>
      <c r="Q100" s="9">
        <f t="shared" si="7"/>
        <v>34.302764850807549</v>
      </c>
      <c r="R100" s="8">
        <v>1</v>
      </c>
      <c r="S100" s="8">
        <v>1</v>
      </c>
      <c r="T100" s="10" t="s">
        <v>77</v>
      </c>
    </row>
    <row r="101" spans="1:20" x14ac:dyDescent="0.45">
      <c r="A101" s="8" t="s">
        <v>34</v>
      </c>
      <c r="B101" s="8" t="s">
        <v>35</v>
      </c>
      <c r="C101" s="8" t="s">
        <v>71</v>
      </c>
      <c r="D101" s="8" t="s">
        <v>72</v>
      </c>
      <c r="E101" s="8" t="s">
        <v>73</v>
      </c>
      <c r="F101" s="8" t="s">
        <v>81</v>
      </c>
      <c r="G101" s="8" t="s">
        <v>78</v>
      </c>
      <c r="H101" s="8" t="s">
        <v>82</v>
      </c>
      <c r="I101" s="9">
        <v>23.2</v>
      </c>
      <c r="J101" s="9">
        <v>7.48</v>
      </c>
      <c r="K101" s="9">
        <v>7</v>
      </c>
      <c r="L101" s="9">
        <v>37</v>
      </c>
      <c r="M101" s="9">
        <v>10.3</v>
      </c>
      <c r="N101" s="9">
        <v>10.4</v>
      </c>
      <c r="O101" s="9">
        <v>0</v>
      </c>
      <c r="P101" s="9">
        <f t="shared" si="6"/>
        <v>38.072400000000002</v>
      </c>
      <c r="Q101" s="9">
        <f t="shared" si="7"/>
        <v>34.589261379122377</v>
      </c>
      <c r="R101" s="8">
        <v>1</v>
      </c>
      <c r="S101" s="8">
        <v>1</v>
      </c>
      <c r="T101" s="10" t="s">
        <v>79</v>
      </c>
    </row>
    <row r="102" spans="1:20" x14ac:dyDescent="0.45">
      <c r="A102" s="8" t="s">
        <v>34</v>
      </c>
      <c r="B102" s="8" t="s">
        <v>35</v>
      </c>
      <c r="C102" s="8" t="s">
        <v>71</v>
      </c>
      <c r="D102" s="8" t="s">
        <v>72</v>
      </c>
      <c r="E102" s="8" t="s">
        <v>83</v>
      </c>
      <c r="F102" s="8" t="s">
        <v>74</v>
      </c>
      <c r="G102" s="8" t="s">
        <v>78</v>
      </c>
      <c r="H102" s="8" t="s">
        <v>82</v>
      </c>
      <c r="I102" s="9">
        <v>23.2</v>
      </c>
      <c r="J102" s="9">
        <v>0.495</v>
      </c>
      <c r="K102" s="9">
        <v>0.4</v>
      </c>
      <c r="L102" s="9">
        <v>260</v>
      </c>
      <c r="M102" s="9">
        <v>10.3</v>
      </c>
      <c r="N102" s="9">
        <v>10.4</v>
      </c>
      <c r="O102" s="9">
        <v>0</v>
      </c>
      <c r="P102" s="9">
        <f t="shared" si="6"/>
        <v>29.537400000000002</v>
      </c>
      <c r="Q102" s="9">
        <f t="shared" si="7"/>
        <v>29.090855370069438</v>
      </c>
      <c r="R102" s="8">
        <v>1</v>
      </c>
      <c r="S102" s="8">
        <v>1</v>
      </c>
      <c r="T102" s="10" t="s">
        <v>84</v>
      </c>
    </row>
    <row r="103" spans="1:20" x14ac:dyDescent="0.45">
      <c r="A103" s="8" t="s">
        <v>34</v>
      </c>
      <c r="B103" s="8" t="s">
        <v>35</v>
      </c>
      <c r="C103" s="8" t="s">
        <v>71</v>
      </c>
      <c r="D103" s="8" t="s">
        <v>72</v>
      </c>
      <c r="E103" s="8" t="s">
        <v>83</v>
      </c>
      <c r="F103" s="8" t="s">
        <v>80</v>
      </c>
      <c r="G103" s="8" t="s">
        <v>78</v>
      </c>
      <c r="H103" s="8" t="s">
        <v>82</v>
      </c>
      <c r="I103" s="9">
        <v>23.2</v>
      </c>
      <c r="J103" s="9">
        <v>0.83499999999999996</v>
      </c>
      <c r="K103" s="9">
        <v>0.7</v>
      </c>
      <c r="L103" s="9">
        <v>260</v>
      </c>
      <c r="M103" s="9">
        <v>10.3</v>
      </c>
      <c r="N103" s="9">
        <v>10.4</v>
      </c>
      <c r="O103" s="9">
        <v>0</v>
      </c>
      <c r="P103" s="9">
        <f t="shared" si="6"/>
        <v>30.657400000000003</v>
      </c>
      <c r="Q103" s="9">
        <f t="shared" si="7"/>
        <v>29.864497589011737</v>
      </c>
      <c r="R103" s="8">
        <v>1</v>
      </c>
      <c r="S103" s="8">
        <v>1</v>
      </c>
      <c r="T103" s="10" t="s">
        <v>84</v>
      </c>
    </row>
    <row r="104" spans="1:20" x14ac:dyDescent="0.45">
      <c r="A104" s="8" t="s">
        <v>34</v>
      </c>
      <c r="B104" s="8" t="s">
        <v>35</v>
      </c>
      <c r="C104" s="8" t="s">
        <v>71</v>
      </c>
      <c r="D104" s="8" t="s">
        <v>72</v>
      </c>
      <c r="E104" s="8" t="s">
        <v>83</v>
      </c>
      <c r="F104" s="8" t="s">
        <v>81</v>
      </c>
      <c r="G104" s="8" t="s">
        <v>78</v>
      </c>
      <c r="H104" s="8" t="s">
        <v>82</v>
      </c>
      <c r="I104" s="9">
        <v>23.2</v>
      </c>
      <c r="J104" s="9">
        <v>1.18</v>
      </c>
      <c r="K104" s="9">
        <v>1</v>
      </c>
      <c r="L104" s="9">
        <v>260</v>
      </c>
      <c r="M104" s="9">
        <v>10.3</v>
      </c>
      <c r="N104" s="9">
        <v>10.4</v>
      </c>
      <c r="O104" s="9">
        <v>0</v>
      </c>
      <c r="P104" s="9">
        <f t="shared" si="6"/>
        <v>31.782400000000003</v>
      </c>
      <c r="Q104" s="9">
        <f t="shared" si="7"/>
        <v>30.624783195220662</v>
      </c>
      <c r="R104" s="8">
        <v>1</v>
      </c>
      <c r="S104" s="8">
        <v>1</v>
      </c>
      <c r="T104" s="10" t="s">
        <v>84</v>
      </c>
    </row>
    <row r="105" spans="1:20" ht="26.25" x14ac:dyDescent="0.45">
      <c r="A105" s="8" t="s">
        <v>34</v>
      </c>
      <c r="B105" s="8" t="s">
        <v>35</v>
      </c>
      <c r="C105" s="8" t="s">
        <v>85</v>
      </c>
      <c r="D105" s="8" t="s">
        <v>86</v>
      </c>
      <c r="E105" s="8" t="s">
        <v>73</v>
      </c>
      <c r="F105" s="8" t="s">
        <v>87</v>
      </c>
      <c r="G105" s="8" t="s">
        <v>75</v>
      </c>
      <c r="H105" s="8" t="s">
        <v>88</v>
      </c>
      <c r="I105" s="9">
        <v>15</v>
      </c>
      <c r="J105" s="9">
        <v>7</v>
      </c>
      <c r="K105" s="9">
        <v>7</v>
      </c>
      <c r="L105" s="9">
        <v>37</v>
      </c>
      <c r="M105" s="9">
        <v>10.3</v>
      </c>
      <c r="N105" s="9">
        <v>10.4</v>
      </c>
      <c r="O105" s="9">
        <v>0</v>
      </c>
      <c r="P105" s="9">
        <f t="shared" si="6"/>
        <v>27.695</v>
      </c>
      <c r="Q105" s="9">
        <f t="shared" si="7"/>
        <v>25.27146637466922</v>
      </c>
      <c r="R105" s="8">
        <v>0</v>
      </c>
      <c r="S105" s="8">
        <v>1</v>
      </c>
      <c r="T105" s="10" t="s">
        <v>89</v>
      </c>
    </row>
    <row r="106" spans="1:20" ht="26.25" x14ac:dyDescent="0.45">
      <c r="A106" s="8" t="s">
        <v>34</v>
      </c>
      <c r="B106" s="8" t="s">
        <v>35</v>
      </c>
      <c r="C106" s="8" t="s">
        <v>85</v>
      </c>
      <c r="D106" s="8" t="s">
        <v>86</v>
      </c>
      <c r="E106" s="8" t="s">
        <v>73</v>
      </c>
      <c r="F106" s="8" t="s">
        <v>87</v>
      </c>
      <c r="G106" s="8" t="s">
        <v>78</v>
      </c>
      <c r="H106" s="8" t="s">
        <v>88</v>
      </c>
      <c r="I106" s="9">
        <v>15</v>
      </c>
      <c r="J106" s="9">
        <v>7.48</v>
      </c>
      <c r="K106" s="9">
        <v>7</v>
      </c>
      <c r="L106" s="9">
        <v>37</v>
      </c>
      <c r="M106" s="9">
        <v>10.3</v>
      </c>
      <c r="N106" s="9">
        <v>10.4</v>
      </c>
      <c r="O106" s="9">
        <v>0</v>
      </c>
      <c r="P106" s="9">
        <f t="shared" si="6"/>
        <v>28.175000000000001</v>
      </c>
      <c r="Q106" s="9">
        <f t="shared" si="7"/>
        <v>25.597347142727354</v>
      </c>
      <c r="R106" s="8">
        <v>0</v>
      </c>
      <c r="S106" s="8">
        <v>1</v>
      </c>
      <c r="T106" s="10" t="s">
        <v>89</v>
      </c>
    </row>
    <row r="107" spans="1:20" ht="39.4" x14ac:dyDescent="0.45">
      <c r="A107" s="8" t="s">
        <v>34</v>
      </c>
      <c r="B107" s="8" t="s">
        <v>35</v>
      </c>
      <c r="C107" s="8" t="s">
        <v>85</v>
      </c>
      <c r="D107" s="8" t="s">
        <v>90</v>
      </c>
      <c r="E107" s="8" t="s">
        <v>73</v>
      </c>
      <c r="F107" s="8" t="s">
        <v>87</v>
      </c>
      <c r="G107" s="8" t="s">
        <v>78</v>
      </c>
      <c r="H107" s="8" t="s">
        <v>91</v>
      </c>
      <c r="I107" s="9">
        <v>19</v>
      </c>
      <c r="J107" s="9">
        <v>7.48</v>
      </c>
      <c r="K107" s="9">
        <v>7</v>
      </c>
      <c r="L107" s="9">
        <v>37</v>
      </c>
      <c r="M107" s="9">
        <v>10.3</v>
      </c>
      <c r="N107" s="9">
        <v>10.4</v>
      </c>
      <c r="O107" s="9">
        <v>0</v>
      </c>
      <c r="P107" s="9">
        <f t="shared" si="6"/>
        <v>33.003</v>
      </c>
      <c r="Q107" s="9">
        <f t="shared" si="7"/>
        <v>29.983646770237122</v>
      </c>
      <c r="R107" s="8">
        <v>0</v>
      </c>
      <c r="S107" s="8">
        <v>1</v>
      </c>
      <c r="T107" s="10" t="s">
        <v>92</v>
      </c>
    </row>
    <row r="108" spans="1:20" x14ac:dyDescent="0.45">
      <c r="A108" s="8" t="s">
        <v>34</v>
      </c>
      <c r="B108" s="8" t="s">
        <v>35</v>
      </c>
      <c r="C108" s="8" t="s">
        <v>85</v>
      </c>
      <c r="D108" s="8" t="s">
        <v>90</v>
      </c>
      <c r="E108" s="8" t="s">
        <v>73</v>
      </c>
      <c r="F108" s="8" t="s">
        <v>74</v>
      </c>
      <c r="G108" s="8" t="s">
        <v>78</v>
      </c>
      <c r="H108" s="8" t="s">
        <v>91</v>
      </c>
      <c r="I108" s="9">
        <v>19</v>
      </c>
      <c r="J108" s="9">
        <v>3.75</v>
      </c>
      <c r="K108" s="9">
        <v>3.5</v>
      </c>
      <c r="L108" s="9">
        <v>37</v>
      </c>
      <c r="M108" s="9">
        <v>10.3</v>
      </c>
      <c r="N108" s="9">
        <v>10.4</v>
      </c>
      <c r="O108" s="9">
        <v>0</v>
      </c>
      <c r="P108" s="9">
        <f t="shared" si="6"/>
        <v>27.978000000000002</v>
      </c>
      <c r="Q108" s="9">
        <f t="shared" si="7"/>
        <v>26.63429958589176</v>
      </c>
      <c r="R108" s="8">
        <v>0</v>
      </c>
      <c r="S108" s="8">
        <v>1</v>
      </c>
      <c r="T108" s="10" t="s">
        <v>93</v>
      </c>
    </row>
    <row r="109" spans="1:20" x14ac:dyDescent="0.45">
      <c r="A109" s="8" t="s">
        <v>34</v>
      </c>
      <c r="B109" s="8" t="s">
        <v>35</v>
      </c>
      <c r="C109" s="8" t="s">
        <v>85</v>
      </c>
      <c r="D109" s="8" t="s">
        <v>90</v>
      </c>
      <c r="E109" s="8" t="s">
        <v>73</v>
      </c>
      <c r="F109" s="8" t="s">
        <v>80</v>
      </c>
      <c r="G109" s="8" t="s">
        <v>78</v>
      </c>
      <c r="H109" s="8" t="s">
        <v>91</v>
      </c>
      <c r="I109" s="9">
        <v>19</v>
      </c>
      <c r="J109" s="9">
        <v>5.665</v>
      </c>
      <c r="K109" s="9">
        <v>5.3</v>
      </c>
      <c r="L109" s="9">
        <v>37</v>
      </c>
      <c r="M109" s="9">
        <v>10.3</v>
      </c>
      <c r="N109" s="9">
        <v>10.4</v>
      </c>
      <c r="O109" s="9">
        <v>0</v>
      </c>
      <c r="P109" s="9">
        <f t="shared" si="6"/>
        <v>30.558999999999997</v>
      </c>
      <c r="Q109" s="9">
        <f t="shared" si="7"/>
        <v>28.393696690390797</v>
      </c>
      <c r="R109" s="8">
        <v>0</v>
      </c>
      <c r="S109" s="8">
        <v>1</v>
      </c>
      <c r="T109" s="10" t="s">
        <v>93</v>
      </c>
    </row>
    <row r="110" spans="1:20" x14ac:dyDescent="0.45">
      <c r="A110" s="8" t="s">
        <v>36</v>
      </c>
      <c r="B110" s="8" t="s">
        <v>37</v>
      </c>
      <c r="C110" s="8" t="s">
        <v>71</v>
      </c>
      <c r="D110" s="8" t="s">
        <v>72</v>
      </c>
      <c r="E110" s="8" t="s">
        <v>73</v>
      </c>
      <c r="F110" s="8" t="s">
        <v>74</v>
      </c>
      <c r="G110" s="8" t="s">
        <v>75</v>
      </c>
      <c r="H110" s="8" t="s">
        <v>76</v>
      </c>
      <c r="I110" s="9">
        <v>15</v>
      </c>
      <c r="J110" s="9">
        <v>3.5</v>
      </c>
      <c r="K110" s="9">
        <v>3.5</v>
      </c>
      <c r="L110" s="9">
        <v>37</v>
      </c>
      <c r="M110" s="9">
        <v>10.3</v>
      </c>
      <c r="N110" s="9">
        <v>10.4</v>
      </c>
      <c r="O110" s="9">
        <v>0</v>
      </c>
      <c r="P110" s="9">
        <f t="shared" si="6"/>
        <v>22.9</v>
      </c>
      <c r="Q110" s="9">
        <f t="shared" si="7"/>
        <v>21.852187604370439</v>
      </c>
      <c r="R110" s="8">
        <v>1</v>
      </c>
      <c r="S110" s="8">
        <v>1</v>
      </c>
      <c r="T110" s="10" t="s">
        <v>77</v>
      </c>
    </row>
    <row r="111" spans="1:20" x14ac:dyDescent="0.45">
      <c r="A111" s="8" t="s">
        <v>36</v>
      </c>
      <c r="B111" s="8" t="s">
        <v>37</v>
      </c>
      <c r="C111" s="8" t="s">
        <v>71</v>
      </c>
      <c r="D111" s="8" t="s">
        <v>72</v>
      </c>
      <c r="E111" s="8" t="s">
        <v>73</v>
      </c>
      <c r="F111" s="8" t="s">
        <v>74</v>
      </c>
      <c r="G111" s="8" t="s">
        <v>78</v>
      </c>
      <c r="H111" s="8" t="s">
        <v>76</v>
      </c>
      <c r="I111" s="9">
        <v>15</v>
      </c>
      <c r="J111" s="9">
        <v>3.75</v>
      </c>
      <c r="K111" s="9">
        <v>3.5</v>
      </c>
      <c r="L111" s="9">
        <v>37</v>
      </c>
      <c r="M111" s="9">
        <v>10.3</v>
      </c>
      <c r="N111" s="9">
        <v>10.4</v>
      </c>
      <c r="O111" s="9">
        <v>0</v>
      </c>
      <c r="P111" s="9">
        <f t="shared" si="6"/>
        <v>23.15</v>
      </c>
      <c r="Q111" s="9">
        <f t="shared" si="7"/>
        <v>22.038174115855107</v>
      </c>
      <c r="R111" s="8">
        <v>1</v>
      </c>
      <c r="S111" s="8">
        <v>1</v>
      </c>
      <c r="T111" s="10" t="s">
        <v>79</v>
      </c>
    </row>
    <row r="112" spans="1:20" x14ac:dyDescent="0.45">
      <c r="A112" s="8" t="s">
        <v>36</v>
      </c>
      <c r="B112" s="8" t="s">
        <v>37</v>
      </c>
      <c r="C112" s="8" t="s">
        <v>71</v>
      </c>
      <c r="D112" s="8" t="s">
        <v>72</v>
      </c>
      <c r="E112" s="8" t="s">
        <v>73</v>
      </c>
      <c r="F112" s="8" t="s">
        <v>80</v>
      </c>
      <c r="G112" s="8" t="s">
        <v>75</v>
      </c>
      <c r="H112" s="8" t="s">
        <v>76</v>
      </c>
      <c r="I112" s="9">
        <v>15</v>
      </c>
      <c r="J112" s="9">
        <v>5.3</v>
      </c>
      <c r="K112" s="9">
        <v>5.3</v>
      </c>
      <c r="L112" s="9">
        <v>37</v>
      </c>
      <c r="M112" s="9">
        <v>10.3</v>
      </c>
      <c r="N112" s="9">
        <v>10.4</v>
      </c>
      <c r="O112" s="9">
        <v>0</v>
      </c>
      <c r="P112" s="9">
        <f t="shared" si="6"/>
        <v>25.366</v>
      </c>
      <c r="Q112" s="9">
        <f t="shared" si="7"/>
        <v>23.648856527535642</v>
      </c>
      <c r="R112" s="8">
        <v>1</v>
      </c>
      <c r="S112" s="8">
        <v>1</v>
      </c>
      <c r="T112" s="10" t="s">
        <v>77</v>
      </c>
    </row>
    <row r="113" spans="1:20" x14ac:dyDescent="0.45">
      <c r="A113" s="8" t="s">
        <v>36</v>
      </c>
      <c r="B113" s="8" t="s">
        <v>37</v>
      </c>
      <c r="C113" s="8" t="s">
        <v>71</v>
      </c>
      <c r="D113" s="8" t="s">
        <v>72</v>
      </c>
      <c r="E113" s="8" t="s">
        <v>73</v>
      </c>
      <c r="F113" s="8" t="s">
        <v>80</v>
      </c>
      <c r="G113" s="8" t="s">
        <v>78</v>
      </c>
      <c r="H113" s="8" t="s">
        <v>76</v>
      </c>
      <c r="I113" s="9">
        <v>15</v>
      </c>
      <c r="J113" s="9">
        <v>5.665</v>
      </c>
      <c r="K113" s="9">
        <v>5.3</v>
      </c>
      <c r="L113" s="9">
        <v>37</v>
      </c>
      <c r="M113" s="9">
        <v>10.3</v>
      </c>
      <c r="N113" s="9">
        <v>10.4</v>
      </c>
      <c r="O113" s="9">
        <v>0</v>
      </c>
      <c r="P113" s="9">
        <f t="shared" si="6"/>
        <v>25.730999999999998</v>
      </c>
      <c r="Q113" s="9">
        <f t="shared" si="7"/>
        <v>23.907791797521043</v>
      </c>
      <c r="R113" s="8">
        <v>1</v>
      </c>
      <c r="S113" s="8">
        <v>1</v>
      </c>
      <c r="T113" s="10" t="s">
        <v>79</v>
      </c>
    </row>
    <row r="114" spans="1:20" x14ac:dyDescent="0.45">
      <c r="A114" s="8" t="s">
        <v>36</v>
      </c>
      <c r="B114" s="8" t="s">
        <v>37</v>
      </c>
      <c r="C114" s="8" t="s">
        <v>71</v>
      </c>
      <c r="D114" s="8" t="s">
        <v>72</v>
      </c>
      <c r="E114" s="8" t="s">
        <v>73</v>
      </c>
      <c r="F114" s="8" t="s">
        <v>81</v>
      </c>
      <c r="G114" s="8" t="s">
        <v>75</v>
      </c>
      <c r="H114" s="8" t="s">
        <v>82</v>
      </c>
      <c r="I114" s="9">
        <v>23.2</v>
      </c>
      <c r="J114" s="9">
        <v>7</v>
      </c>
      <c r="K114" s="9">
        <v>7</v>
      </c>
      <c r="L114" s="9">
        <v>37</v>
      </c>
      <c r="M114" s="9">
        <v>10.3</v>
      </c>
      <c r="N114" s="9">
        <v>10.4</v>
      </c>
      <c r="O114" s="9">
        <v>0</v>
      </c>
      <c r="P114" s="9">
        <f t="shared" si="6"/>
        <v>37.592399999999998</v>
      </c>
      <c r="Q114" s="9">
        <f t="shared" si="7"/>
        <v>34.302764850807549</v>
      </c>
      <c r="R114" s="8">
        <v>1</v>
      </c>
      <c r="S114" s="8">
        <v>1</v>
      </c>
      <c r="T114" s="10" t="s">
        <v>77</v>
      </c>
    </row>
    <row r="115" spans="1:20" x14ac:dyDescent="0.45">
      <c r="A115" s="8" t="s">
        <v>36</v>
      </c>
      <c r="B115" s="8" t="s">
        <v>37</v>
      </c>
      <c r="C115" s="8" t="s">
        <v>71</v>
      </c>
      <c r="D115" s="8" t="s">
        <v>72</v>
      </c>
      <c r="E115" s="8" t="s">
        <v>73</v>
      </c>
      <c r="F115" s="8" t="s">
        <v>81</v>
      </c>
      <c r="G115" s="8" t="s">
        <v>78</v>
      </c>
      <c r="H115" s="8" t="s">
        <v>82</v>
      </c>
      <c r="I115" s="9">
        <v>23.2</v>
      </c>
      <c r="J115" s="9">
        <v>7.48</v>
      </c>
      <c r="K115" s="9">
        <v>7</v>
      </c>
      <c r="L115" s="9">
        <v>37</v>
      </c>
      <c r="M115" s="9">
        <v>10.3</v>
      </c>
      <c r="N115" s="9">
        <v>10.4</v>
      </c>
      <c r="O115" s="9">
        <v>0</v>
      </c>
      <c r="P115" s="9">
        <f t="shared" si="6"/>
        <v>38.072400000000002</v>
      </c>
      <c r="Q115" s="9">
        <f t="shared" si="7"/>
        <v>34.589261379122377</v>
      </c>
      <c r="R115" s="8">
        <v>1</v>
      </c>
      <c r="S115" s="8">
        <v>1</v>
      </c>
      <c r="T115" s="10" t="s">
        <v>79</v>
      </c>
    </row>
    <row r="116" spans="1:20" x14ac:dyDescent="0.45">
      <c r="A116" s="8" t="s">
        <v>36</v>
      </c>
      <c r="B116" s="8" t="s">
        <v>37</v>
      </c>
      <c r="C116" s="8" t="s">
        <v>71</v>
      </c>
      <c r="D116" s="8" t="s">
        <v>72</v>
      </c>
      <c r="E116" s="8" t="s">
        <v>83</v>
      </c>
      <c r="F116" s="8" t="s">
        <v>74</v>
      </c>
      <c r="G116" s="8" t="s">
        <v>78</v>
      </c>
      <c r="H116" s="8" t="s">
        <v>82</v>
      </c>
      <c r="I116" s="9">
        <v>23.2</v>
      </c>
      <c r="J116" s="9">
        <v>0.495</v>
      </c>
      <c r="K116" s="9">
        <v>0.4</v>
      </c>
      <c r="L116" s="9">
        <v>260</v>
      </c>
      <c r="M116" s="9">
        <v>10.3</v>
      </c>
      <c r="N116" s="9">
        <v>10.4</v>
      </c>
      <c r="O116" s="9">
        <v>0</v>
      </c>
      <c r="P116" s="9">
        <f t="shared" si="6"/>
        <v>29.537400000000002</v>
      </c>
      <c r="Q116" s="9">
        <f t="shared" si="7"/>
        <v>29.090855370069438</v>
      </c>
      <c r="R116" s="8">
        <v>1</v>
      </c>
      <c r="S116" s="8">
        <v>1</v>
      </c>
      <c r="T116" s="10" t="s">
        <v>84</v>
      </c>
    </row>
    <row r="117" spans="1:20" x14ac:dyDescent="0.45">
      <c r="A117" s="8" t="s">
        <v>36</v>
      </c>
      <c r="B117" s="8" t="s">
        <v>37</v>
      </c>
      <c r="C117" s="8" t="s">
        <v>71</v>
      </c>
      <c r="D117" s="8" t="s">
        <v>72</v>
      </c>
      <c r="E117" s="8" t="s">
        <v>83</v>
      </c>
      <c r="F117" s="8" t="s">
        <v>80</v>
      </c>
      <c r="G117" s="8" t="s">
        <v>78</v>
      </c>
      <c r="H117" s="8" t="s">
        <v>82</v>
      </c>
      <c r="I117" s="9">
        <v>23.2</v>
      </c>
      <c r="J117" s="9">
        <v>0.83499999999999996</v>
      </c>
      <c r="K117" s="9">
        <v>0.7</v>
      </c>
      <c r="L117" s="9">
        <v>260</v>
      </c>
      <c r="M117" s="9">
        <v>10.3</v>
      </c>
      <c r="N117" s="9">
        <v>10.4</v>
      </c>
      <c r="O117" s="9">
        <v>0</v>
      </c>
      <c r="P117" s="9">
        <f t="shared" si="6"/>
        <v>30.657400000000003</v>
      </c>
      <c r="Q117" s="9">
        <f t="shared" si="7"/>
        <v>29.864497589011737</v>
      </c>
      <c r="R117" s="8">
        <v>1</v>
      </c>
      <c r="S117" s="8">
        <v>1</v>
      </c>
      <c r="T117" s="10" t="s">
        <v>84</v>
      </c>
    </row>
    <row r="118" spans="1:20" x14ac:dyDescent="0.45">
      <c r="A118" s="8" t="s">
        <v>36</v>
      </c>
      <c r="B118" s="8" t="s">
        <v>37</v>
      </c>
      <c r="C118" s="8" t="s">
        <v>71</v>
      </c>
      <c r="D118" s="8" t="s">
        <v>72</v>
      </c>
      <c r="E118" s="8" t="s">
        <v>83</v>
      </c>
      <c r="F118" s="8" t="s">
        <v>81</v>
      </c>
      <c r="G118" s="8" t="s">
        <v>78</v>
      </c>
      <c r="H118" s="8" t="s">
        <v>82</v>
      </c>
      <c r="I118" s="9">
        <v>23.2</v>
      </c>
      <c r="J118" s="9">
        <v>1.18</v>
      </c>
      <c r="K118" s="9">
        <v>1</v>
      </c>
      <c r="L118" s="9">
        <v>260</v>
      </c>
      <c r="M118" s="9">
        <v>10.3</v>
      </c>
      <c r="N118" s="9">
        <v>10.4</v>
      </c>
      <c r="O118" s="9">
        <v>0</v>
      </c>
      <c r="P118" s="9">
        <f t="shared" si="6"/>
        <v>31.782400000000003</v>
      </c>
      <c r="Q118" s="9">
        <f t="shared" si="7"/>
        <v>30.624783195220662</v>
      </c>
      <c r="R118" s="8">
        <v>1</v>
      </c>
      <c r="S118" s="8">
        <v>1</v>
      </c>
      <c r="T118" s="10" t="s">
        <v>84</v>
      </c>
    </row>
    <row r="119" spans="1:20" ht="26.25" x14ac:dyDescent="0.45">
      <c r="A119" s="8" t="s">
        <v>36</v>
      </c>
      <c r="B119" s="8" t="s">
        <v>37</v>
      </c>
      <c r="C119" s="8" t="s">
        <v>85</v>
      </c>
      <c r="D119" s="8" t="s">
        <v>86</v>
      </c>
      <c r="E119" s="8" t="s">
        <v>73</v>
      </c>
      <c r="F119" s="8" t="s">
        <v>87</v>
      </c>
      <c r="G119" s="8" t="s">
        <v>75</v>
      </c>
      <c r="H119" s="8" t="s">
        <v>88</v>
      </c>
      <c r="I119" s="9">
        <v>15</v>
      </c>
      <c r="J119" s="9">
        <v>7</v>
      </c>
      <c r="K119" s="9">
        <v>7</v>
      </c>
      <c r="L119" s="9">
        <v>37</v>
      </c>
      <c r="M119" s="9">
        <v>10.3</v>
      </c>
      <c r="N119" s="9">
        <v>10.4</v>
      </c>
      <c r="O119" s="9">
        <v>0</v>
      </c>
      <c r="P119" s="9">
        <f t="shared" si="6"/>
        <v>27.695</v>
      </c>
      <c r="Q119" s="9">
        <f t="shared" si="7"/>
        <v>25.27146637466922</v>
      </c>
      <c r="R119" s="8">
        <v>0</v>
      </c>
      <c r="S119" s="8">
        <v>1</v>
      </c>
      <c r="T119" s="10" t="s">
        <v>89</v>
      </c>
    </row>
    <row r="120" spans="1:20" ht="26.25" x14ac:dyDescent="0.45">
      <c r="A120" s="8" t="s">
        <v>36</v>
      </c>
      <c r="B120" s="8" t="s">
        <v>37</v>
      </c>
      <c r="C120" s="8" t="s">
        <v>85</v>
      </c>
      <c r="D120" s="8" t="s">
        <v>86</v>
      </c>
      <c r="E120" s="8" t="s">
        <v>73</v>
      </c>
      <c r="F120" s="8" t="s">
        <v>87</v>
      </c>
      <c r="G120" s="8" t="s">
        <v>78</v>
      </c>
      <c r="H120" s="8" t="s">
        <v>88</v>
      </c>
      <c r="I120" s="9">
        <v>15</v>
      </c>
      <c r="J120" s="9">
        <v>7.48</v>
      </c>
      <c r="K120" s="9">
        <v>7</v>
      </c>
      <c r="L120" s="9">
        <v>37</v>
      </c>
      <c r="M120" s="9">
        <v>10.3</v>
      </c>
      <c r="N120" s="9">
        <v>10.4</v>
      </c>
      <c r="O120" s="9">
        <v>0</v>
      </c>
      <c r="P120" s="9">
        <f t="shared" si="6"/>
        <v>28.175000000000001</v>
      </c>
      <c r="Q120" s="9">
        <f t="shared" si="7"/>
        <v>25.597347142727354</v>
      </c>
      <c r="R120" s="8">
        <v>0</v>
      </c>
      <c r="S120" s="8">
        <v>1</v>
      </c>
      <c r="T120" s="10" t="s">
        <v>89</v>
      </c>
    </row>
    <row r="121" spans="1:20" ht="39.4" x14ac:dyDescent="0.45">
      <c r="A121" s="8" t="s">
        <v>36</v>
      </c>
      <c r="B121" s="8" t="s">
        <v>37</v>
      </c>
      <c r="C121" s="8" t="s">
        <v>85</v>
      </c>
      <c r="D121" s="8" t="s">
        <v>90</v>
      </c>
      <c r="E121" s="8" t="s">
        <v>73</v>
      </c>
      <c r="F121" s="8" t="s">
        <v>87</v>
      </c>
      <c r="G121" s="8" t="s">
        <v>78</v>
      </c>
      <c r="H121" s="8" t="s">
        <v>91</v>
      </c>
      <c r="I121" s="9">
        <v>19</v>
      </c>
      <c r="J121" s="9">
        <v>7.48</v>
      </c>
      <c r="K121" s="9">
        <v>7</v>
      </c>
      <c r="L121" s="9">
        <v>37</v>
      </c>
      <c r="M121" s="9">
        <v>10.3</v>
      </c>
      <c r="N121" s="9">
        <v>10.4</v>
      </c>
      <c r="O121" s="9">
        <v>0</v>
      </c>
      <c r="P121" s="9">
        <f t="shared" si="6"/>
        <v>33.003</v>
      </c>
      <c r="Q121" s="9">
        <f t="shared" si="7"/>
        <v>29.983646770237122</v>
      </c>
      <c r="R121" s="8">
        <v>0</v>
      </c>
      <c r="S121" s="8">
        <v>1</v>
      </c>
      <c r="T121" s="10" t="s">
        <v>92</v>
      </c>
    </row>
    <row r="122" spans="1:20" x14ac:dyDescent="0.45">
      <c r="A122" s="8" t="s">
        <v>36</v>
      </c>
      <c r="B122" s="8" t="s">
        <v>37</v>
      </c>
      <c r="C122" s="8" t="s">
        <v>85</v>
      </c>
      <c r="D122" s="8" t="s">
        <v>90</v>
      </c>
      <c r="E122" s="8" t="s">
        <v>73</v>
      </c>
      <c r="F122" s="8" t="s">
        <v>74</v>
      </c>
      <c r="G122" s="8" t="s">
        <v>78</v>
      </c>
      <c r="H122" s="8" t="s">
        <v>91</v>
      </c>
      <c r="I122" s="9">
        <v>19</v>
      </c>
      <c r="J122" s="9">
        <v>3.75</v>
      </c>
      <c r="K122" s="9">
        <v>3.5</v>
      </c>
      <c r="L122" s="9">
        <v>37</v>
      </c>
      <c r="M122" s="9">
        <v>10.3</v>
      </c>
      <c r="N122" s="9">
        <v>10.4</v>
      </c>
      <c r="O122" s="9">
        <v>0</v>
      </c>
      <c r="P122" s="9">
        <f t="shared" si="6"/>
        <v>27.978000000000002</v>
      </c>
      <c r="Q122" s="9">
        <f t="shared" si="7"/>
        <v>26.63429958589176</v>
      </c>
      <c r="R122" s="8">
        <v>0</v>
      </c>
      <c r="S122" s="8">
        <v>1</v>
      </c>
      <c r="T122" s="10" t="s">
        <v>93</v>
      </c>
    </row>
    <row r="123" spans="1:20" x14ac:dyDescent="0.45">
      <c r="A123" s="8" t="s">
        <v>36</v>
      </c>
      <c r="B123" s="8" t="s">
        <v>37</v>
      </c>
      <c r="C123" s="8" t="s">
        <v>85</v>
      </c>
      <c r="D123" s="8" t="s">
        <v>90</v>
      </c>
      <c r="E123" s="8" t="s">
        <v>73</v>
      </c>
      <c r="F123" s="8" t="s">
        <v>80</v>
      </c>
      <c r="G123" s="8" t="s">
        <v>78</v>
      </c>
      <c r="H123" s="8" t="s">
        <v>91</v>
      </c>
      <c r="I123" s="9">
        <v>19</v>
      </c>
      <c r="J123" s="9">
        <v>5.665</v>
      </c>
      <c r="K123" s="9">
        <v>5.3</v>
      </c>
      <c r="L123" s="9">
        <v>37</v>
      </c>
      <c r="M123" s="9">
        <v>10.3</v>
      </c>
      <c r="N123" s="9">
        <v>10.4</v>
      </c>
      <c r="O123" s="9">
        <v>0</v>
      </c>
      <c r="P123" s="9">
        <f t="shared" si="6"/>
        <v>30.558999999999997</v>
      </c>
      <c r="Q123" s="9">
        <f t="shared" si="7"/>
        <v>28.393696690390797</v>
      </c>
      <c r="R123" s="8">
        <v>0</v>
      </c>
      <c r="S123" s="8">
        <v>1</v>
      </c>
      <c r="T123" s="10" t="s">
        <v>93</v>
      </c>
    </row>
    <row r="124" spans="1:20" x14ac:dyDescent="0.45">
      <c r="A124" s="8" t="s">
        <v>38</v>
      </c>
      <c r="B124" s="8" t="s">
        <v>39</v>
      </c>
      <c r="C124" s="8" t="s">
        <v>71</v>
      </c>
      <c r="D124" s="8" t="s">
        <v>72</v>
      </c>
      <c r="E124" s="8" t="s">
        <v>73</v>
      </c>
      <c r="F124" s="8" t="s">
        <v>74</v>
      </c>
      <c r="G124" s="8" t="s">
        <v>75</v>
      </c>
      <c r="H124" s="8" t="s">
        <v>76</v>
      </c>
      <c r="I124" s="9">
        <v>15</v>
      </c>
      <c r="J124" s="9">
        <v>3.5</v>
      </c>
      <c r="K124" s="9">
        <v>3.5</v>
      </c>
      <c r="L124" s="9">
        <v>37</v>
      </c>
      <c r="M124" s="9">
        <v>10.3</v>
      </c>
      <c r="N124" s="9">
        <v>10.4</v>
      </c>
      <c r="O124" s="9">
        <v>0</v>
      </c>
      <c r="P124" s="9">
        <f t="shared" si="6"/>
        <v>22.9</v>
      </c>
      <c r="Q124" s="9">
        <f t="shared" si="7"/>
        <v>21.852187604370439</v>
      </c>
      <c r="R124" s="8">
        <v>1</v>
      </c>
      <c r="S124" s="8">
        <v>1</v>
      </c>
      <c r="T124" s="10" t="s">
        <v>77</v>
      </c>
    </row>
    <row r="125" spans="1:20" x14ac:dyDescent="0.45">
      <c r="A125" s="8" t="s">
        <v>38</v>
      </c>
      <c r="B125" s="8" t="s">
        <v>39</v>
      </c>
      <c r="C125" s="8" t="s">
        <v>71</v>
      </c>
      <c r="D125" s="8" t="s">
        <v>72</v>
      </c>
      <c r="E125" s="8" t="s">
        <v>73</v>
      </c>
      <c r="F125" s="8" t="s">
        <v>74</v>
      </c>
      <c r="G125" s="8" t="s">
        <v>78</v>
      </c>
      <c r="H125" s="8" t="s">
        <v>76</v>
      </c>
      <c r="I125" s="9">
        <v>15</v>
      </c>
      <c r="J125" s="9">
        <v>3.75</v>
      </c>
      <c r="K125" s="9">
        <v>3.5</v>
      </c>
      <c r="L125" s="9">
        <v>37</v>
      </c>
      <c r="M125" s="9">
        <v>10.3</v>
      </c>
      <c r="N125" s="9">
        <v>10.4</v>
      </c>
      <c r="O125" s="9">
        <v>0</v>
      </c>
      <c r="P125" s="9">
        <f t="shared" si="6"/>
        <v>23.15</v>
      </c>
      <c r="Q125" s="9">
        <f t="shared" si="7"/>
        <v>22.038174115855107</v>
      </c>
      <c r="R125" s="8">
        <v>1</v>
      </c>
      <c r="S125" s="8">
        <v>1</v>
      </c>
      <c r="T125" s="10" t="s">
        <v>79</v>
      </c>
    </row>
    <row r="126" spans="1:20" x14ac:dyDescent="0.45">
      <c r="A126" s="8" t="s">
        <v>38</v>
      </c>
      <c r="B126" s="8" t="s">
        <v>39</v>
      </c>
      <c r="C126" s="8" t="s">
        <v>71</v>
      </c>
      <c r="D126" s="8" t="s">
        <v>72</v>
      </c>
      <c r="E126" s="8" t="s">
        <v>73</v>
      </c>
      <c r="F126" s="8" t="s">
        <v>80</v>
      </c>
      <c r="G126" s="8" t="s">
        <v>75</v>
      </c>
      <c r="H126" s="8" t="s">
        <v>76</v>
      </c>
      <c r="I126" s="9">
        <v>15</v>
      </c>
      <c r="J126" s="9">
        <v>5.3</v>
      </c>
      <c r="K126" s="9">
        <v>5.3</v>
      </c>
      <c r="L126" s="9">
        <v>37</v>
      </c>
      <c r="M126" s="9">
        <v>10.3</v>
      </c>
      <c r="N126" s="9">
        <v>10.4</v>
      </c>
      <c r="O126" s="9">
        <v>0</v>
      </c>
      <c r="P126" s="9">
        <f t="shared" si="6"/>
        <v>25.366</v>
      </c>
      <c r="Q126" s="9">
        <f t="shared" si="7"/>
        <v>23.648856527535642</v>
      </c>
      <c r="R126" s="8">
        <v>1</v>
      </c>
      <c r="S126" s="8">
        <v>1</v>
      </c>
      <c r="T126" s="10" t="s">
        <v>77</v>
      </c>
    </row>
    <row r="127" spans="1:20" x14ac:dyDescent="0.45">
      <c r="A127" s="8" t="s">
        <v>38</v>
      </c>
      <c r="B127" s="8" t="s">
        <v>39</v>
      </c>
      <c r="C127" s="8" t="s">
        <v>71</v>
      </c>
      <c r="D127" s="8" t="s">
        <v>72</v>
      </c>
      <c r="E127" s="8" t="s">
        <v>73</v>
      </c>
      <c r="F127" s="8" t="s">
        <v>80</v>
      </c>
      <c r="G127" s="8" t="s">
        <v>78</v>
      </c>
      <c r="H127" s="8" t="s">
        <v>76</v>
      </c>
      <c r="I127" s="9">
        <v>15</v>
      </c>
      <c r="J127" s="9">
        <v>5.665</v>
      </c>
      <c r="K127" s="9">
        <v>5.3</v>
      </c>
      <c r="L127" s="9">
        <v>37</v>
      </c>
      <c r="M127" s="9">
        <v>10.3</v>
      </c>
      <c r="N127" s="9">
        <v>10.4</v>
      </c>
      <c r="O127" s="9">
        <v>0</v>
      </c>
      <c r="P127" s="9">
        <f t="shared" si="6"/>
        <v>25.730999999999998</v>
      </c>
      <c r="Q127" s="9">
        <f t="shared" si="7"/>
        <v>23.907791797521043</v>
      </c>
      <c r="R127" s="8">
        <v>1</v>
      </c>
      <c r="S127" s="8">
        <v>1</v>
      </c>
      <c r="T127" s="10" t="s">
        <v>79</v>
      </c>
    </row>
    <row r="128" spans="1:20" x14ac:dyDescent="0.45">
      <c r="A128" s="8" t="s">
        <v>38</v>
      </c>
      <c r="B128" s="8" t="s">
        <v>39</v>
      </c>
      <c r="C128" s="8" t="s">
        <v>71</v>
      </c>
      <c r="D128" s="8" t="s">
        <v>72</v>
      </c>
      <c r="E128" s="8" t="s">
        <v>73</v>
      </c>
      <c r="F128" s="8" t="s">
        <v>81</v>
      </c>
      <c r="G128" s="8" t="s">
        <v>75</v>
      </c>
      <c r="H128" s="8" t="s">
        <v>82</v>
      </c>
      <c r="I128" s="9">
        <v>23.2</v>
      </c>
      <c r="J128" s="9">
        <v>7</v>
      </c>
      <c r="K128" s="9">
        <v>7</v>
      </c>
      <c r="L128" s="9">
        <v>37</v>
      </c>
      <c r="M128" s="9">
        <v>10.3</v>
      </c>
      <c r="N128" s="9">
        <v>10.4</v>
      </c>
      <c r="O128" s="9">
        <v>0</v>
      </c>
      <c r="P128" s="9">
        <f t="shared" si="6"/>
        <v>37.592399999999998</v>
      </c>
      <c r="Q128" s="9">
        <f t="shared" si="7"/>
        <v>34.302764850807549</v>
      </c>
      <c r="R128" s="8">
        <v>1</v>
      </c>
      <c r="S128" s="8">
        <v>1</v>
      </c>
      <c r="T128" s="10" t="s">
        <v>77</v>
      </c>
    </row>
    <row r="129" spans="1:20" x14ac:dyDescent="0.45">
      <c r="A129" s="8" t="s">
        <v>38</v>
      </c>
      <c r="B129" s="8" t="s">
        <v>39</v>
      </c>
      <c r="C129" s="8" t="s">
        <v>71</v>
      </c>
      <c r="D129" s="8" t="s">
        <v>72</v>
      </c>
      <c r="E129" s="8" t="s">
        <v>73</v>
      </c>
      <c r="F129" s="8" t="s">
        <v>81</v>
      </c>
      <c r="G129" s="8" t="s">
        <v>78</v>
      </c>
      <c r="H129" s="8" t="s">
        <v>82</v>
      </c>
      <c r="I129" s="9">
        <v>23.2</v>
      </c>
      <c r="J129" s="9">
        <v>7.48</v>
      </c>
      <c r="K129" s="9">
        <v>7</v>
      </c>
      <c r="L129" s="9">
        <v>37</v>
      </c>
      <c r="M129" s="9">
        <v>10.3</v>
      </c>
      <c r="N129" s="9">
        <v>10.4</v>
      </c>
      <c r="O129" s="9">
        <v>0</v>
      </c>
      <c r="P129" s="9">
        <f t="shared" si="6"/>
        <v>38.072400000000002</v>
      </c>
      <c r="Q129" s="9">
        <f t="shared" si="7"/>
        <v>34.589261379122377</v>
      </c>
      <c r="R129" s="8">
        <v>1</v>
      </c>
      <c r="S129" s="8">
        <v>1</v>
      </c>
      <c r="T129" s="10" t="s">
        <v>79</v>
      </c>
    </row>
    <row r="130" spans="1:20" x14ac:dyDescent="0.45">
      <c r="A130" s="8" t="s">
        <v>38</v>
      </c>
      <c r="B130" s="8" t="s">
        <v>39</v>
      </c>
      <c r="C130" s="8" t="s">
        <v>71</v>
      </c>
      <c r="D130" s="8" t="s">
        <v>72</v>
      </c>
      <c r="E130" s="8" t="s">
        <v>83</v>
      </c>
      <c r="F130" s="8" t="s">
        <v>94</v>
      </c>
      <c r="G130" s="8" t="s">
        <v>78</v>
      </c>
      <c r="H130" s="8" t="s">
        <v>82</v>
      </c>
      <c r="I130" s="9">
        <v>23.2</v>
      </c>
      <c r="J130" s="9">
        <v>1.18</v>
      </c>
      <c r="K130" s="9">
        <v>1</v>
      </c>
      <c r="L130" s="9">
        <v>260</v>
      </c>
      <c r="M130" s="9">
        <v>10.3</v>
      </c>
      <c r="N130" s="9">
        <v>10.4</v>
      </c>
      <c r="O130" s="9">
        <v>0</v>
      </c>
      <c r="P130" s="9">
        <f t="shared" ref="P130:P161" si="8">I130*(1+M130/100+N130/100+O130/100)+J130+L130/100*K130</f>
        <v>31.782400000000003</v>
      </c>
      <c r="Q130" s="9">
        <f t="shared" ref="Q130:Q161" si="9">P130/(1+J130/100+L130/100*K130/100)</f>
        <v>30.624783195220662</v>
      </c>
      <c r="R130" s="8">
        <v>1</v>
      </c>
      <c r="S130" s="8">
        <v>1</v>
      </c>
      <c r="T130" s="10" t="s">
        <v>95</v>
      </c>
    </row>
    <row r="131" spans="1:20" ht="26.25" x14ac:dyDescent="0.45">
      <c r="A131" s="8" t="s">
        <v>38</v>
      </c>
      <c r="B131" s="8" t="s">
        <v>39</v>
      </c>
      <c r="C131" s="8" t="s">
        <v>85</v>
      </c>
      <c r="D131" s="8" t="s">
        <v>86</v>
      </c>
      <c r="E131" s="8" t="s">
        <v>73</v>
      </c>
      <c r="F131" s="8" t="s">
        <v>87</v>
      </c>
      <c r="G131" s="8" t="s">
        <v>75</v>
      </c>
      <c r="H131" s="8" t="s">
        <v>88</v>
      </c>
      <c r="I131" s="9">
        <v>15</v>
      </c>
      <c r="J131" s="9">
        <v>7</v>
      </c>
      <c r="K131" s="9">
        <v>7</v>
      </c>
      <c r="L131" s="9">
        <v>37</v>
      </c>
      <c r="M131" s="9">
        <v>10.3</v>
      </c>
      <c r="N131" s="9">
        <v>10.4</v>
      </c>
      <c r="O131" s="9">
        <v>0</v>
      </c>
      <c r="P131" s="9">
        <f t="shared" si="8"/>
        <v>27.695</v>
      </c>
      <c r="Q131" s="9">
        <f t="shared" si="9"/>
        <v>25.27146637466922</v>
      </c>
      <c r="R131" s="8">
        <v>0</v>
      </c>
      <c r="S131" s="8">
        <v>1</v>
      </c>
      <c r="T131" s="10" t="s">
        <v>89</v>
      </c>
    </row>
    <row r="132" spans="1:20" ht="26.25" x14ac:dyDescent="0.45">
      <c r="A132" s="8" t="s">
        <v>38</v>
      </c>
      <c r="B132" s="8" t="s">
        <v>39</v>
      </c>
      <c r="C132" s="8" t="s">
        <v>85</v>
      </c>
      <c r="D132" s="8" t="s">
        <v>86</v>
      </c>
      <c r="E132" s="8" t="s">
        <v>73</v>
      </c>
      <c r="F132" s="8" t="s">
        <v>87</v>
      </c>
      <c r="G132" s="8" t="s">
        <v>78</v>
      </c>
      <c r="H132" s="8" t="s">
        <v>88</v>
      </c>
      <c r="I132" s="9">
        <v>15</v>
      </c>
      <c r="J132" s="9">
        <v>7.48</v>
      </c>
      <c r="K132" s="9">
        <v>7</v>
      </c>
      <c r="L132" s="9">
        <v>37</v>
      </c>
      <c r="M132" s="9">
        <v>10.3</v>
      </c>
      <c r="N132" s="9">
        <v>10.4</v>
      </c>
      <c r="O132" s="9">
        <v>0</v>
      </c>
      <c r="P132" s="9">
        <f t="shared" si="8"/>
        <v>28.175000000000001</v>
      </c>
      <c r="Q132" s="9">
        <f t="shared" si="9"/>
        <v>25.597347142727354</v>
      </c>
      <c r="R132" s="8">
        <v>0</v>
      </c>
      <c r="S132" s="8">
        <v>1</v>
      </c>
      <c r="T132" s="10" t="s">
        <v>89</v>
      </c>
    </row>
    <row r="133" spans="1:20" ht="39.4" x14ac:dyDescent="0.45">
      <c r="A133" s="8" t="s">
        <v>38</v>
      </c>
      <c r="B133" s="8" t="s">
        <v>39</v>
      </c>
      <c r="C133" s="8" t="s">
        <v>85</v>
      </c>
      <c r="D133" s="8" t="s">
        <v>90</v>
      </c>
      <c r="E133" s="8" t="s">
        <v>73</v>
      </c>
      <c r="F133" s="8" t="s">
        <v>87</v>
      </c>
      <c r="G133" s="8" t="s">
        <v>78</v>
      </c>
      <c r="H133" s="8" t="s">
        <v>91</v>
      </c>
      <c r="I133" s="9">
        <v>19</v>
      </c>
      <c r="J133" s="9">
        <v>7.48</v>
      </c>
      <c r="K133" s="9">
        <v>7</v>
      </c>
      <c r="L133" s="9">
        <v>37</v>
      </c>
      <c r="M133" s="9">
        <v>10.3</v>
      </c>
      <c r="N133" s="9">
        <v>10.4</v>
      </c>
      <c r="O133" s="9">
        <v>0</v>
      </c>
      <c r="P133" s="9">
        <f t="shared" si="8"/>
        <v>33.003</v>
      </c>
      <c r="Q133" s="9">
        <f t="shared" si="9"/>
        <v>29.983646770237122</v>
      </c>
      <c r="R133" s="8">
        <v>0</v>
      </c>
      <c r="S133" s="8">
        <v>1</v>
      </c>
      <c r="T133" s="10" t="s">
        <v>92</v>
      </c>
    </row>
    <row r="134" spans="1:20" x14ac:dyDescent="0.45">
      <c r="A134" s="8" t="s">
        <v>38</v>
      </c>
      <c r="B134" s="8" t="s">
        <v>39</v>
      </c>
      <c r="C134" s="8" t="s">
        <v>85</v>
      </c>
      <c r="D134" s="8" t="s">
        <v>90</v>
      </c>
      <c r="E134" s="8" t="s">
        <v>73</v>
      </c>
      <c r="F134" s="8" t="s">
        <v>74</v>
      </c>
      <c r="G134" s="8" t="s">
        <v>78</v>
      </c>
      <c r="H134" s="8" t="s">
        <v>91</v>
      </c>
      <c r="I134" s="9">
        <v>19</v>
      </c>
      <c r="J134" s="9">
        <v>3.75</v>
      </c>
      <c r="K134" s="9">
        <v>3.5</v>
      </c>
      <c r="L134" s="9">
        <v>37</v>
      </c>
      <c r="M134" s="9">
        <v>10.3</v>
      </c>
      <c r="N134" s="9">
        <v>10.4</v>
      </c>
      <c r="O134" s="9">
        <v>0</v>
      </c>
      <c r="P134" s="9">
        <f t="shared" si="8"/>
        <v>27.978000000000002</v>
      </c>
      <c r="Q134" s="9">
        <f t="shared" si="9"/>
        <v>26.63429958589176</v>
      </c>
      <c r="R134" s="8">
        <v>0</v>
      </c>
      <c r="S134" s="8">
        <v>1</v>
      </c>
      <c r="T134" s="10" t="s">
        <v>93</v>
      </c>
    </row>
    <row r="135" spans="1:20" x14ac:dyDescent="0.45">
      <c r="A135" s="8" t="s">
        <v>38</v>
      </c>
      <c r="B135" s="8" t="s">
        <v>39</v>
      </c>
      <c r="C135" s="8" t="s">
        <v>85</v>
      </c>
      <c r="D135" s="8" t="s">
        <v>90</v>
      </c>
      <c r="E135" s="8" t="s">
        <v>73</v>
      </c>
      <c r="F135" s="8" t="s">
        <v>80</v>
      </c>
      <c r="G135" s="8" t="s">
        <v>78</v>
      </c>
      <c r="H135" s="8" t="s">
        <v>91</v>
      </c>
      <c r="I135" s="9">
        <v>19</v>
      </c>
      <c r="J135" s="9">
        <v>5.665</v>
      </c>
      <c r="K135" s="9">
        <v>5.3</v>
      </c>
      <c r="L135" s="9">
        <v>37</v>
      </c>
      <c r="M135" s="9">
        <v>10.3</v>
      </c>
      <c r="N135" s="9">
        <v>10.4</v>
      </c>
      <c r="O135" s="9">
        <v>0</v>
      </c>
      <c r="P135" s="9">
        <f t="shared" si="8"/>
        <v>30.558999999999997</v>
      </c>
      <c r="Q135" s="9">
        <f t="shared" si="9"/>
        <v>28.393696690390797</v>
      </c>
      <c r="R135" s="8">
        <v>0</v>
      </c>
      <c r="S135" s="8">
        <v>1</v>
      </c>
      <c r="T135" s="10" t="s">
        <v>93</v>
      </c>
    </row>
    <row r="136" spans="1:20" x14ac:dyDescent="0.45">
      <c r="A136" s="8" t="s">
        <v>41</v>
      </c>
      <c r="B136" s="8" t="s">
        <v>42</v>
      </c>
      <c r="C136" s="8" t="s">
        <v>71</v>
      </c>
      <c r="D136" s="8" t="s">
        <v>72</v>
      </c>
      <c r="E136" s="8" t="s">
        <v>73</v>
      </c>
      <c r="F136" s="8" t="s">
        <v>74</v>
      </c>
      <c r="G136" s="8" t="s">
        <v>75</v>
      </c>
      <c r="H136" s="8" t="s">
        <v>76</v>
      </c>
      <c r="I136" s="9">
        <v>15</v>
      </c>
      <c r="J136" s="9">
        <v>3.5</v>
      </c>
      <c r="K136" s="9">
        <v>3.5</v>
      </c>
      <c r="L136" s="9">
        <v>37</v>
      </c>
      <c r="M136" s="9">
        <v>10.3</v>
      </c>
      <c r="N136" s="9">
        <v>10.4</v>
      </c>
      <c r="O136" s="9">
        <v>0</v>
      </c>
      <c r="P136" s="9">
        <f t="shared" si="8"/>
        <v>22.9</v>
      </c>
      <c r="Q136" s="9">
        <f t="shared" si="9"/>
        <v>21.852187604370439</v>
      </c>
      <c r="R136" s="8">
        <v>1</v>
      </c>
      <c r="S136" s="8">
        <v>1</v>
      </c>
      <c r="T136" s="10" t="s">
        <v>77</v>
      </c>
    </row>
    <row r="137" spans="1:20" x14ac:dyDescent="0.45">
      <c r="A137" s="8" t="s">
        <v>41</v>
      </c>
      <c r="B137" s="8" t="s">
        <v>42</v>
      </c>
      <c r="C137" s="8" t="s">
        <v>71</v>
      </c>
      <c r="D137" s="8" t="s">
        <v>72</v>
      </c>
      <c r="E137" s="8" t="s">
        <v>73</v>
      </c>
      <c r="F137" s="8" t="s">
        <v>74</v>
      </c>
      <c r="G137" s="8" t="s">
        <v>78</v>
      </c>
      <c r="H137" s="8" t="s">
        <v>76</v>
      </c>
      <c r="I137" s="9">
        <v>15</v>
      </c>
      <c r="J137" s="9">
        <v>3.75</v>
      </c>
      <c r="K137" s="9">
        <v>3.5</v>
      </c>
      <c r="L137" s="9">
        <v>37</v>
      </c>
      <c r="M137" s="9">
        <v>10.3</v>
      </c>
      <c r="N137" s="9">
        <v>10.4</v>
      </c>
      <c r="O137" s="9">
        <v>0</v>
      </c>
      <c r="P137" s="9">
        <f t="shared" si="8"/>
        <v>23.15</v>
      </c>
      <c r="Q137" s="9">
        <f t="shared" si="9"/>
        <v>22.038174115855107</v>
      </c>
      <c r="R137" s="8">
        <v>1</v>
      </c>
      <c r="S137" s="8">
        <v>1</v>
      </c>
      <c r="T137" s="10" t="s">
        <v>79</v>
      </c>
    </row>
    <row r="138" spans="1:20" x14ac:dyDescent="0.45">
      <c r="A138" s="8" t="s">
        <v>41</v>
      </c>
      <c r="B138" s="8" t="s">
        <v>42</v>
      </c>
      <c r="C138" s="8" t="s">
        <v>71</v>
      </c>
      <c r="D138" s="8" t="s">
        <v>72</v>
      </c>
      <c r="E138" s="8" t="s">
        <v>73</v>
      </c>
      <c r="F138" s="8" t="s">
        <v>80</v>
      </c>
      <c r="G138" s="8" t="s">
        <v>75</v>
      </c>
      <c r="H138" s="8" t="s">
        <v>76</v>
      </c>
      <c r="I138" s="9">
        <v>15</v>
      </c>
      <c r="J138" s="9">
        <v>5.3</v>
      </c>
      <c r="K138" s="9">
        <v>5.3</v>
      </c>
      <c r="L138" s="9">
        <v>37</v>
      </c>
      <c r="M138" s="9">
        <v>10.3</v>
      </c>
      <c r="N138" s="9">
        <v>10.4</v>
      </c>
      <c r="O138" s="9">
        <v>0</v>
      </c>
      <c r="P138" s="9">
        <f t="shared" si="8"/>
        <v>25.366</v>
      </c>
      <c r="Q138" s="9">
        <f t="shared" si="9"/>
        <v>23.648856527535642</v>
      </c>
      <c r="R138" s="8">
        <v>1</v>
      </c>
      <c r="S138" s="8">
        <v>1</v>
      </c>
      <c r="T138" s="10" t="s">
        <v>77</v>
      </c>
    </row>
    <row r="139" spans="1:20" x14ac:dyDescent="0.45">
      <c r="A139" s="8" t="s">
        <v>41</v>
      </c>
      <c r="B139" s="8" t="s">
        <v>42</v>
      </c>
      <c r="C139" s="8" t="s">
        <v>71</v>
      </c>
      <c r="D139" s="8" t="s">
        <v>72</v>
      </c>
      <c r="E139" s="8" t="s">
        <v>73</v>
      </c>
      <c r="F139" s="8" t="s">
        <v>80</v>
      </c>
      <c r="G139" s="8" t="s">
        <v>78</v>
      </c>
      <c r="H139" s="8" t="s">
        <v>76</v>
      </c>
      <c r="I139" s="9">
        <v>15</v>
      </c>
      <c r="J139" s="9">
        <v>5.665</v>
      </c>
      <c r="K139" s="9">
        <v>5.3</v>
      </c>
      <c r="L139" s="9">
        <v>37</v>
      </c>
      <c r="M139" s="9">
        <v>10.3</v>
      </c>
      <c r="N139" s="9">
        <v>10.4</v>
      </c>
      <c r="O139" s="9">
        <v>0</v>
      </c>
      <c r="P139" s="9">
        <f t="shared" si="8"/>
        <v>25.730999999999998</v>
      </c>
      <c r="Q139" s="9">
        <f t="shared" si="9"/>
        <v>23.907791797521043</v>
      </c>
      <c r="R139" s="8">
        <v>1</v>
      </c>
      <c r="S139" s="8">
        <v>1</v>
      </c>
      <c r="T139" s="10" t="s">
        <v>79</v>
      </c>
    </row>
    <row r="140" spans="1:20" x14ac:dyDescent="0.45">
      <c r="A140" s="8" t="s">
        <v>41</v>
      </c>
      <c r="B140" s="8" t="s">
        <v>42</v>
      </c>
      <c r="C140" s="8" t="s">
        <v>71</v>
      </c>
      <c r="D140" s="8" t="s">
        <v>72</v>
      </c>
      <c r="E140" s="8" t="s">
        <v>73</v>
      </c>
      <c r="F140" s="8" t="s">
        <v>81</v>
      </c>
      <c r="G140" s="8" t="s">
        <v>75</v>
      </c>
      <c r="H140" s="8" t="s">
        <v>82</v>
      </c>
      <c r="I140" s="9">
        <v>23.2</v>
      </c>
      <c r="J140" s="9">
        <v>7</v>
      </c>
      <c r="K140" s="9">
        <v>7</v>
      </c>
      <c r="L140" s="9">
        <v>37</v>
      </c>
      <c r="M140" s="9">
        <v>10.3</v>
      </c>
      <c r="N140" s="9">
        <v>10.4</v>
      </c>
      <c r="O140" s="9">
        <v>0</v>
      </c>
      <c r="P140" s="9">
        <f t="shared" si="8"/>
        <v>37.592399999999998</v>
      </c>
      <c r="Q140" s="9">
        <f t="shared" si="9"/>
        <v>34.302764850807549</v>
      </c>
      <c r="R140" s="8">
        <v>1</v>
      </c>
      <c r="S140" s="8">
        <v>1</v>
      </c>
      <c r="T140" s="10" t="s">
        <v>77</v>
      </c>
    </row>
    <row r="141" spans="1:20" x14ac:dyDescent="0.45">
      <c r="A141" s="8" t="s">
        <v>41</v>
      </c>
      <c r="B141" s="8" t="s">
        <v>42</v>
      </c>
      <c r="C141" s="8" t="s">
        <v>71</v>
      </c>
      <c r="D141" s="8" t="s">
        <v>72</v>
      </c>
      <c r="E141" s="8" t="s">
        <v>73</v>
      </c>
      <c r="F141" s="8" t="s">
        <v>81</v>
      </c>
      <c r="G141" s="8" t="s">
        <v>78</v>
      </c>
      <c r="H141" s="8" t="s">
        <v>82</v>
      </c>
      <c r="I141" s="9">
        <v>23.2</v>
      </c>
      <c r="J141" s="9">
        <v>7.48</v>
      </c>
      <c r="K141" s="9">
        <v>7</v>
      </c>
      <c r="L141" s="9">
        <v>37</v>
      </c>
      <c r="M141" s="9">
        <v>10.3</v>
      </c>
      <c r="N141" s="9">
        <v>10.4</v>
      </c>
      <c r="O141" s="9">
        <v>0</v>
      </c>
      <c r="P141" s="9">
        <f t="shared" si="8"/>
        <v>38.072400000000002</v>
      </c>
      <c r="Q141" s="9">
        <f t="shared" si="9"/>
        <v>34.589261379122377</v>
      </c>
      <c r="R141" s="8">
        <v>1</v>
      </c>
      <c r="S141" s="8">
        <v>1</v>
      </c>
      <c r="T141" s="10" t="s">
        <v>79</v>
      </c>
    </row>
    <row r="142" spans="1:20" x14ac:dyDescent="0.45">
      <c r="A142" s="8" t="s">
        <v>41</v>
      </c>
      <c r="B142" s="8" t="s">
        <v>42</v>
      </c>
      <c r="C142" s="8" t="s">
        <v>71</v>
      </c>
      <c r="D142" s="8" t="s">
        <v>72</v>
      </c>
      <c r="E142" s="8" t="s">
        <v>83</v>
      </c>
      <c r="F142" s="8" t="s">
        <v>94</v>
      </c>
      <c r="G142" s="8" t="s">
        <v>78</v>
      </c>
      <c r="H142" s="8" t="s">
        <v>82</v>
      </c>
      <c r="I142" s="9">
        <v>23.2</v>
      </c>
      <c r="J142" s="9">
        <v>1.18</v>
      </c>
      <c r="K142" s="9">
        <v>1</v>
      </c>
      <c r="L142" s="9">
        <v>260</v>
      </c>
      <c r="M142" s="9">
        <v>10.3</v>
      </c>
      <c r="N142" s="9">
        <v>10.4</v>
      </c>
      <c r="O142" s="9">
        <v>0</v>
      </c>
      <c r="P142" s="9">
        <f t="shared" si="8"/>
        <v>31.782400000000003</v>
      </c>
      <c r="Q142" s="9">
        <f t="shared" si="9"/>
        <v>30.624783195220662</v>
      </c>
      <c r="R142" s="8">
        <v>1</v>
      </c>
      <c r="S142" s="8">
        <v>1</v>
      </c>
      <c r="T142" s="10" t="s">
        <v>95</v>
      </c>
    </row>
    <row r="143" spans="1:20" ht="26.25" x14ac:dyDescent="0.45">
      <c r="A143" s="8" t="s">
        <v>41</v>
      </c>
      <c r="B143" s="8" t="s">
        <v>42</v>
      </c>
      <c r="C143" s="8" t="s">
        <v>85</v>
      </c>
      <c r="D143" s="8" t="s">
        <v>86</v>
      </c>
      <c r="E143" s="8" t="s">
        <v>73</v>
      </c>
      <c r="F143" s="8" t="s">
        <v>87</v>
      </c>
      <c r="G143" s="8" t="s">
        <v>75</v>
      </c>
      <c r="H143" s="8" t="s">
        <v>88</v>
      </c>
      <c r="I143" s="9">
        <v>15</v>
      </c>
      <c r="J143" s="9">
        <v>7</v>
      </c>
      <c r="K143" s="9">
        <v>7</v>
      </c>
      <c r="L143" s="9">
        <v>37</v>
      </c>
      <c r="M143" s="9">
        <v>10.3</v>
      </c>
      <c r="N143" s="9">
        <v>10.4</v>
      </c>
      <c r="O143" s="9">
        <v>0</v>
      </c>
      <c r="P143" s="9">
        <f t="shared" si="8"/>
        <v>27.695</v>
      </c>
      <c r="Q143" s="9">
        <f t="shared" si="9"/>
        <v>25.27146637466922</v>
      </c>
      <c r="R143" s="8">
        <v>0</v>
      </c>
      <c r="S143" s="8">
        <v>1</v>
      </c>
      <c r="T143" s="10" t="s">
        <v>89</v>
      </c>
    </row>
    <row r="144" spans="1:20" ht="26.25" x14ac:dyDescent="0.45">
      <c r="A144" s="8" t="s">
        <v>41</v>
      </c>
      <c r="B144" s="8" t="s">
        <v>42</v>
      </c>
      <c r="C144" s="8" t="s">
        <v>85</v>
      </c>
      <c r="D144" s="8" t="s">
        <v>86</v>
      </c>
      <c r="E144" s="8" t="s">
        <v>73</v>
      </c>
      <c r="F144" s="8" t="s">
        <v>87</v>
      </c>
      <c r="G144" s="8" t="s">
        <v>78</v>
      </c>
      <c r="H144" s="8" t="s">
        <v>88</v>
      </c>
      <c r="I144" s="9">
        <v>15</v>
      </c>
      <c r="J144" s="9">
        <v>7.48</v>
      </c>
      <c r="K144" s="9">
        <v>7</v>
      </c>
      <c r="L144" s="9">
        <v>37</v>
      </c>
      <c r="M144" s="9">
        <v>10.3</v>
      </c>
      <c r="N144" s="9">
        <v>10.4</v>
      </c>
      <c r="O144" s="9">
        <v>0</v>
      </c>
      <c r="P144" s="9">
        <f t="shared" si="8"/>
        <v>28.175000000000001</v>
      </c>
      <c r="Q144" s="9">
        <f t="shared" si="9"/>
        <v>25.597347142727354</v>
      </c>
      <c r="R144" s="8">
        <v>0</v>
      </c>
      <c r="S144" s="8">
        <v>1</v>
      </c>
      <c r="T144" s="10" t="s">
        <v>89</v>
      </c>
    </row>
    <row r="145" spans="1:20" ht="39.4" x14ac:dyDescent="0.45">
      <c r="A145" s="8" t="s">
        <v>41</v>
      </c>
      <c r="B145" s="8" t="s">
        <v>42</v>
      </c>
      <c r="C145" s="8" t="s">
        <v>85</v>
      </c>
      <c r="D145" s="8" t="s">
        <v>90</v>
      </c>
      <c r="E145" s="8" t="s">
        <v>73</v>
      </c>
      <c r="F145" s="8" t="s">
        <v>87</v>
      </c>
      <c r="G145" s="8" t="s">
        <v>78</v>
      </c>
      <c r="H145" s="8" t="s">
        <v>91</v>
      </c>
      <c r="I145" s="9">
        <v>19</v>
      </c>
      <c r="J145" s="9">
        <v>7.48</v>
      </c>
      <c r="K145" s="9">
        <v>7</v>
      </c>
      <c r="L145" s="9">
        <v>37</v>
      </c>
      <c r="M145" s="9">
        <v>10.3</v>
      </c>
      <c r="N145" s="9">
        <v>10.4</v>
      </c>
      <c r="O145" s="9">
        <v>0</v>
      </c>
      <c r="P145" s="9">
        <f t="shared" si="8"/>
        <v>33.003</v>
      </c>
      <c r="Q145" s="9">
        <f t="shared" si="9"/>
        <v>29.983646770237122</v>
      </c>
      <c r="R145" s="8">
        <v>0</v>
      </c>
      <c r="S145" s="8">
        <v>1</v>
      </c>
      <c r="T145" s="10" t="s">
        <v>92</v>
      </c>
    </row>
    <row r="146" spans="1:20" x14ac:dyDescent="0.45">
      <c r="A146" s="8" t="s">
        <v>41</v>
      </c>
      <c r="B146" s="8" t="s">
        <v>42</v>
      </c>
      <c r="C146" s="8" t="s">
        <v>85</v>
      </c>
      <c r="D146" s="8" t="s">
        <v>90</v>
      </c>
      <c r="E146" s="8" t="s">
        <v>73</v>
      </c>
      <c r="F146" s="8" t="s">
        <v>74</v>
      </c>
      <c r="G146" s="8" t="s">
        <v>78</v>
      </c>
      <c r="H146" s="8" t="s">
        <v>91</v>
      </c>
      <c r="I146" s="9">
        <v>19</v>
      </c>
      <c r="J146" s="9">
        <v>3.75</v>
      </c>
      <c r="K146" s="9">
        <v>3.5</v>
      </c>
      <c r="L146" s="9">
        <v>37</v>
      </c>
      <c r="M146" s="9">
        <v>10.3</v>
      </c>
      <c r="N146" s="9">
        <v>10.4</v>
      </c>
      <c r="O146" s="9">
        <v>0</v>
      </c>
      <c r="P146" s="9">
        <f t="shared" si="8"/>
        <v>27.978000000000002</v>
      </c>
      <c r="Q146" s="9">
        <f t="shared" si="9"/>
        <v>26.63429958589176</v>
      </c>
      <c r="R146" s="8">
        <v>0</v>
      </c>
      <c r="S146" s="8">
        <v>1</v>
      </c>
      <c r="T146" s="10" t="s">
        <v>93</v>
      </c>
    </row>
    <row r="147" spans="1:20" x14ac:dyDescent="0.45">
      <c r="A147" s="8" t="s">
        <v>41</v>
      </c>
      <c r="B147" s="8" t="s">
        <v>42</v>
      </c>
      <c r="C147" s="8" t="s">
        <v>85</v>
      </c>
      <c r="D147" s="8" t="s">
        <v>90</v>
      </c>
      <c r="E147" s="8" t="s">
        <v>73</v>
      </c>
      <c r="F147" s="8" t="s">
        <v>80</v>
      </c>
      <c r="G147" s="8" t="s">
        <v>78</v>
      </c>
      <c r="H147" s="8" t="s">
        <v>91</v>
      </c>
      <c r="I147" s="9">
        <v>19</v>
      </c>
      <c r="J147" s="9">
        <v>5.665</v>
      </c>
      <c r="K147" s="9">
        <v>5.3</v>
      </c>
      <c r="L147" s="9">
        <v>37</v>
      </c>
      <c r="M147" s="9">
        <v>10.3</v>
      </c>
      <c r="N147" s="9">
        <v>10.4</v>
      </c>
      <c r="O147" s="9">
        <v>0</v>
      </c>
      <c r="P147" s="9">
        <f t="shared" si="8"/>
        <v>30.558999999999997</v>
      </c>
      <c r="Q147" s="9">
        <f t="shared" si="9"/>
        <v>28.393696690390797</v>
      </c>
      <c r="R147" s="8">
        <v>0</v>
      </c>
      <c r="S147" s="8">
        <v>1</v>
      </c>
      <c r="T147" s="10" t="s">
        <v>93</v>
      </c>
    </row>
    <row r="148" spans="1:20" x14ac:dyDescent="0.45">
      <c r="A148" s="8" t="s">
        <v>43</v>
      </c>
      <c r="B148" s="8" t="s">
        <v>44</v>
      </c>
      <c r="C148" s="8" t="s">
        <v>71</v>
      </c>
      <c r="D148" s="8" t="s">
        <v>72</v>
      </c>
      <c r="E148" s="8" t="s">
        <v>73</v>
      </c>
      <c r="F148" s="8" t="s">
        <v>74</v>
      </c>
      <c r="G148" s="8" t="s">
        <v>75</v>
      </c>
      <c r="H148" s="8" t="s">
        <v>76</v>
      </c>
      <c r="I148" s="9">
        <v>15</v>
      </c>
      <c r="J148" s="9">
        <v>3.5</v>
      </c>
      <c r="K148" s="9">
        <v>3.5</v>
      </c>
      <c r="L148" s="9">
        <v>37</v>
      </c>
      <c r="M148" s="9">
        <v>10.3</v>
      </c>
      <c r="N148" s="9">
        <v>10.4</v>
      </c>
      <c r="O148" s="9">
        <v>0</v>
      </c>
      <c r="P148" s="9">
        <f t="shared" si="8"/>
        <v>22.9</v>
      </c>
      <c r="Q148" s="9">
        <f t="shared" si="9"/>
        <v>21.852187604370439</v>
      </c>
      <c r="R148" s="8">
        <v>1</v>
      </c>
      <c r="S148" s="8">
        <v>1</v>
      </c>
      <c r="T148" s="10" t="s">
        <v>77</v>
      </c>
    </row>
    <row r="149" spans="1:20" x14ac:dyDescent="0.45">
      <c r="A149" s="8" t="s">
        <v>43</v>
      </c>
      <c r="B149" s="8" t="s">
        <v>44</v>
      </c>
      <c r="C149" s="8" t="s">
        <v>71</v>
      </c>
      <c r="D149" s="8" t="s">
        <v>72</v>
      </c>
      <c r="E149" s="8" t="s">
        <v>73</v>
      </c>
      <c r="F149" s="8" t="s">
        <v>74</v>
      </c>
      <c r="G149" s="8" t="s">
        <v>78</v>
      </c>
      <c r="H149" s="8" t="s">
        <v>76</v>
      </c>
      <c r="I149" s="9">
        <v>15</v>
      </c>
      <c r="J149" s="9">
        <v>3.75</v>
      </c>
      <c r="K149" s="9">
        <v>3.5</v>
      </c>
      <c r="L149" s="9">
        <v>37</v>
      </c>
      <c r="M149" s="9">
        <v>10.3</v>
      </c>
      <c r="N149" s="9">
        <v>10.4</v>
      </c>
      <c r="O149" s="9">
        <v>0</v>
      </c>
      <c r="P149" s="9">
        <f t="shared" si="8"/>
        <v>23.15</v>
      </c>
      <c r="Q149" s="9">
        <f t="shared" si="9"/>
        <v>22.038174115855107</v>
      </c>
      <c r="R149" s="8">
        <v>1</v>
      </c>
      <c r="S149" s="8">
        <v>1</v>
      </c>
      <c r="T149" s="10" t="s">
        <v>79</v>
      </c>
    </row>
    <row r="150" spans="1:20" x14ac:dyDescent="0.45">
      <c r="A150" s="8" t="s">
        <v>43</v>
      </c>
      <c r="B150" s="8" t="s">
        <v>44</v>
      </c>
      <c r="C150" s="8" t="s">
        <v>71</v>
      </c>
      <c r="D150" s="8" t="s">
        <v>72</v>
      </c>
      <c r="E150" s="8" t="s">
        <v>73</v>
      </c>
      <c r="F150" s="8" t="s">
        <v>80</v>
      </c>
      <c r="G150" s="8" t="s">
        <v>75</v>
      </c>
      <c r="H150" s="8" t="s">
        <v>76</v>
      </c>
      <c r="I150" s="9">
        <v>15</v>
      </c>
      <c r="J150" s="9">
        <v>5.3</v>
      </c>
      <c r="K150" s="9">
        <v>5.3</v>
      </c>
      <c r="L150" s="9">
        <v>37</v>
      </c>
      <c r="M150" s="9">
        <v>10.3</v>
      </c>
      <c r="N150" s="9">
        <v>10.4</v>
      </c>
      <c r="O150" s="9">
        <v>0</v>
      </c>
      <c r="P150" s="9">
        <f t="shared" si="8"/>
        <v>25.366</v>
      </c>
      <c r="Q150" s="9">
        <f t="shared" si="9"/>
        <v>23.648856527535642</v>
      </c>
      <c r="R150" s="8">
        <v>1</v>
      </c>
      <c r="S150" s="8">
        <v>1</v>
      </c>
      <c r="T150" s="10" t="s">
        <v>77</v>
      </c>
    </row>
    <row r="151" spans="1:20" x14ac:dyDescent="0.45">
      <c r="A151" s="8" t="s">
        <v>43</v>
      </c>
      <c r="B151" s="8" t="s">
        <v>44</v>
      </c>
      <c r="C151" s="8" t="s">
        <v>71</v>
      </c>
      <c r="D151" s="8" t="s">
        <v>72</v>
      </c>
      <c r="E151" s="8" t="s">
        <v>73</v>
      </c>
      <c r="F151" s="8" t="s">
        <v>80</v>
      </c>
      <c r="G151" s="8" t="s">
        <v>78</v>
      </c>
      <c r="H151" s="8" t="s">
        <v>76</v>
      </c>
      <c r="I151" s="9">
        <v>15</v>
      </c>
      <c r="J151" s="9">
        <v>5.665</v>
      </c>
      <c r="K151" s="9">
        <v>5.3</v>
      </c>
      <c r="L151" s="9">
        <v>37</v>
      </c>
      <c r="M151" s="9">
        <v>10.3</v>
      </c>
      <c r="N151" s="9">
        <v>10.4</v>
      </c>
      <c r="O151" s="9">
        <v>0</v>
      </c>
      <c r="P151" s="9">
        <f t="shared" si="8"/>
        <v>25.730999999999998</v>
      </c>
      <c r="Q151" s="9">
        <f t="shared" si="9"/>
        <v>23.907791797521043</v>
      </c>
      <c r="R151" s="8">
        <v>1</v>
      </c>
      <c r="S151" s="8">
        <v>1</v>
      </c>
      <c r="T151" s="10" t="s">
        <v>79</v>
      </c>
    </row>
    <row r="152" spans="1:20" x14ac:dyDescent="0.45">
      <c r="A152" s="8" t="s">
        <v>43</v>
      </c>
      <c r="B152" s="8" t="s">
        <v>44</v>
      </c>
      <c r="C152" s="8" t="s">
        <v>71</v>
      </c>
      <c r="D152" s="8" t="s">
        <v>72</v>
      </c>
      <c r="E152" s="8" t="s">
        <v>73</v>
      </c>
      <c r="F152" s="8" t="s">
        <v>81</v>
      </c>
      <c r="G152" s="8" t="s">
        <v>75</v>
      </c>
      <c r="H152" s="8" t="s">
        <v>82</v>
      </c>
      <c r="I152" s="9">
        <v>23.2</v>
      </c>
      <c r="J152" s="9">
        <v>7</v>
      </c>
      <c r="K152" s="9">
        <v>7</v>
      </c>
      <c r="L152" s="9">
        <v>37</v>
      </c>
      <c r="M152" s="9">
        <v>10.3</v>
      </c>
      <c r="N152" s="9">
        <v>10.4</v>
      </c>
      <c r="O152" s="9">
        <v>0</v>
      </c>
      <c r="P152" s="9">
        <f t="shared" si="8"/>
        <v>37.592399999999998</v>
      </c>
      <c r="Q152" s="9">
        <f t="shared" si="9"/>
        <v>34.302764850807549</v>
      </c>
      <c r="R152" s="8">
        <v>1</v>
      </c>
      <c r="S152" s="8">
        <v>1</v>
      </c>
      <c r="T152" s="10" t="s">
        <v>77</v>
      </c>
    </row>
    <row r="153" spans="1:20" x14ac:dyDescent="0.45">
      <c r="A153" s="8" t="s">
        <v>43</v>
      </c>
      <c r="B153" s="8" t="s">
        <v>44</v>
      </c>
      <c r="C153" s="8" t="s">
        <v>71</v>
      </c>
      <c r="D153" s="8" t="s">
        <v>72</v>
      </c>
      <c r="E153" s="8" t="s">
        <v>73</v>
      </c>
      <c r="F153" s="8" t="s">
        <v>81</v>
      </c>
      <c r="G153" s="8" t="s">
        <v>78</v>
      </c>
      <c r="H153" s="8" t="s">
        <v>82</v>
      </c>
      <c r="I153" s="9">
        <v>23.2</v>
      </c>
      <c r="J153" s="9">
        <v>7.48</v>
      </c>
      <c r="K153" s="9">
        <v>7</v>
      </c>
      <c r="L153" s="9">
        <v>37</v>
      </c>
      <c r="M153" s="9">
        <v>10.3</v>
      </c>
      <c r="N153" s="9">
        <v>10.4</v>
      </c>
      <c r="O153" s="9">
        <v>0</v>
      </c>
      <c r="P153" s="9">
        <f t="shared" si="8"/>
        <v>38.072400000000002</v>
      </c>
      <c r="Q153" s="9">
        <f t="shared" si="9"/>
        <v>34.589261379122377</v>
      </c>
      <c r="R153" s="8">
        <v>1</v>
      </c>
      <c r="S153" s="8">
        <v>1</v>
      </c>
      <c r="T153" s="10" t="s">
        <v>79</v>
      </c>
    </row>
    <row r="154" spans="1:20" x14ac:dyDescent="0.45">
      <c r="A154" s="8" t="s">
        <v>43</v>
      </c>
      <c r="B154" s="8" t="s">
        <v>44</v>
      </c>
      <c r="C154" s="8" t="s">
        <v>71</v>
      </c>
      <c r="D154" s="8" t="s">
        <v>72</v>
      </c>
      <c r="E154" s="8" t="s">
        <v>83</v>
      </c>
      <c r="F154" s="8" t="s">
        <v>94</v>
      </c>
      <c r="G154" s="8" t="s">
        <v>78</v>
      </c>
      <c r="H154" s="8" t="s">
        <v>82</v>
      </c>
      <c r="I154" s="9">
        <v>23.2</v>
      </c>
      <c r="J154" s="9">
        <v>1.18</v>
      </c>
      <c r="K154" s="9">
        <v>1</v>
      </c>
      <c r="L154" s="9">
        <v>260</v>
      </c>
      <c r="M154" s="9">
        <v>10.3</v>
      </c>
      <c r="N154" s="9">
        <v>10.4</v>
      </c>
      <c r="O154" s="9">
        <v>0</v>
      </c>
      <c r="P154" s="9">
        <f t="shared" si="8"/>
        <v>31.782400000000003</v>
      </c>
      <c r="Q154" s="9">
        <f t="shared" si="9"/>
        <v>30.624783195220662</v>
      </c>
      <c r="R154" s="8">
        <v>1</v>
      </c>
      <c r="S154" s="8">
        <v>1</v>
      </c>
      <c r="T154" s="10" t="s">
        <v>95</v>
      </c>
    </row>
    <row r="155" spans="1:20" ht="26.25" x14ac:dyDescent="0.45">
      <c r="A155" s="8" t="s">
        <v>43</v>
      </c>
      <c r="B155" s="8" t="s">
        <v>44</v>
      </c>
      <c r="C155" s="8" t="s">
        <v>85</v>
      </c>
      <c r="D155" s="8" t="s">
        <v>86</v>
      </c>
      <c r="E155" s="8" t="s">
        <v>73</v>
      </c>
      <c r="F155" s="8" t="s">
        <v>87</v>
      </c>
      <c r="G155" s="8" t="s">
        <v>75</v>
      </c>
      <c r="H155" s="8" t="s">
        <v>88</v>
      </c>
      <c r="I155" s="9">
        <v>15</v>
      </c>
      <c r="J155" s="9">
        <v>7</v>
      </c>
      <c r="K155" s="9">
        <v>7</v>
      </c>
      <c r="L155" s="9">
        <v>37</v>
      </c>
      <c r="M155" s="9">
        <v>10.3</v>
      </c>
      <c r="N155" s="9">
        <v>10.4</v>
      </c>
      <c r="O155" s="9">
        <v>0</v>
      </c>
      <c r="P155" s="9">
        <f t="shared" si="8"/>
        <v>27.695</v>
      </c>
      <c r="Q155" s="9">
        <f t="shared" si="9"/>
        <v>25.27146637466922</v>
      </c>
      <c r="R155" s="8">
        <v>0</v>
      </c>
      <c r="S155" s="8">
        <v>1</v>
      </c>
      <c r="T155" s="10" t="s">
        <v>89</v>
      </c>
    </row>
    <row r="156" spans="1:20" ht="26.25" x14ac:dyDescent="0.45">
      <c r="A156" s="8" t="s">
        <v>43</v>
      </c>
      <c r="B156" s="8" t="s">
        <v>44</v>
      </c>
      <c r="C156" s="8" t="s">
        <v>85</v>
      </c>
      <c r="D156" s="8" t="s">
        <v>86</v>
      </c>
      <c r="E156" s="8" t="s">
        <v>73</v>
      </c>
      <c r="F156" s="8" t="s">
        <v>87</v>
      </c>
      <c r="G156" s="8" t="s">
        <v>78</v>
      </c>
      <c r="H156" s="8" t="s">
        <v>88</v>
      </c>
      <c r="I156" s="9">
        <v>15</v>
      </c>
      <c r="J156" s="9">
        <v>7.48</v>
      </c>
      <c r="K156" s="9">
        <v>7</v>
      </c>
      <c r="L156" s="9">
        <v>37</v>
      </c>
      <c r="M156" s="9">
        <v>10.3</v>
      </c>
      <c r="N156" s="9">
        <v>10.4</v>
      </c>
      <c r="O156" s="9">
        <v>0</v>
      </c>
      <c r="P156" s="9">
        <f t="shared" si="8"/>
        <v>28.175000000000001</v>
      </c>
      <c r="Q156" s="9">
        <f t="shared" si="9"/>
        <v>25.597347142727354</v>
      </c>
      <c r="R156" s="8">
        <v>0</v>
      </c>
      <c r="S156" s="8">
        <v>1</v>
      </c>
      <c r="T156" s="10" t="s">
        <v>89</v>
      </c>
    </row>
    <row r="157" spans="1:20" ht="39.4" x14ac:dyDescent="0.45">
      <c r="A157" s="8" t="s">
        <v>43</v>
      </c>
      <c r="B157" s="8" t="s">
        <v>44</v>
      </c>
      <c r="C157" s="8" t="s">
        <v>85</v>
      </c>
      <c r="D157" s="8" t="s">
        <v>90</v>
      </c>
      <c r="E157" s="8" t="s">
        <v>73</v>
      </c>
      <c r="F157" s="8" t="s">
        <v>87</v>
      </c>
      <c r="G157" s="8" t="s">
        <v>78</v>
      </c>
      <c r="H157" s="8" t="s">
        <v>91</v>
      </c>
      <c r="I157" s="9">
        <v>19</v>
      </c>
      <c r="J157" s="9">
        <v>7.48</v>
      </c>
      <c r="K157" s="9">
        <v>7</v>
      </c>
      <c r="L157" s="9">
        <v>37</v>
      </c>
      <c r="M157" s="9">
        <v>10.3</v>
      </c>
      <c r="N157" s="9">
        <v>10.4</v>
      </c>
      <c r="O157" s="9">
        <v>0</v>
      </c>
      <c r="P157" s="9">
        <f t="shared" si="8"/>
        <v>33.003</v>
      </c>
      <c r="Q157" s="9">
        <f t="shared" si="9"/>
        <v>29.983646770237122</v>
      </c>
      <c r="R157" s="8">
        <v>0</v>
      </c>
      <c r="S157" s="8">
        <v>1</v>
      </c>
      <c r="T157" s="10" t="s">
        <v>92</v>
      </c>
    </row>
    <row r="158" spans="1:20" x14ac:dyDescent="0.45">
      <c r="A158" s="8" t="s">
        <v>43</v>
      </c>
      <c r="B158" s="8" t="s">
        <v>44</v>
      </c>
      <c r="C158" s="8" t="s">
        <v>85</v>
      </c>
      <c r="D158" s="8" t="s">
        <v>90</v>
      </c>
      <c r="E158" s="8" t="s">
        <v>73</v>
      </c>
      <c r="F158" s="8" t="s">
        <v>74</v>
      </c>
      <c r="G158" s="8" t="s">
        <v>78</v>
      </c>
      <c r="H158" s="8" t="s">
        <v>91</v>
      </c>
      <c r="I158" s="9">
        <v>19</v>
      </c>
      <c r="J158" s="9">
        <v>3.75</v>
      </c>
      <c r="K158" s="9">
        <v>3.5</v>
      </c>
      <c r="L158" s="9">
        <v>37</v>
      </c>
      <c r="M158" s="9">
        <v>10.3</v>
      </c>
      <c r="N158" s="9">
        <v>10.4</v>
      </c>
      <c r="O158" s="9">
        <v>0</v>
      </c>
      <c r="P158" s="9">
        <f t="shared" si="8"/>
        <v>27.978000000000002</v>
      </c>
      <c r="Q158" s="9">
        <f t="shared" si="9"/>
        <v>26.63429958589176</v>
      </c>
      <c r="R158" s="8">
        <v>0</v>
      </c>
      <c r="S158" s="8">
        <v>1</v>
      </c>
      <c r="T158" s="10" t="s">
        <v>93</v>
      </c>
    </row>
    <row r="159" spans="1:20" x14ac:dyDescent="0.45">
      <c r="A159" s="8" t="s">
        <v>43</v>
      </c>
      <c r="B159" s="8" t="s">
        <v>44</v>
      </c>
      <c r="C159" s="8" t="s">
        <v>85</v>
      </c>
      <c r="D159" s="8" t="s">
        <v>90</v>
      </c>
      <c r="E159" s="8" t="s">
        <v>73</v>
      </c>
      <c r="F159" s="8" t="s">
        <v>80</v>
      </c>
      <c r="G159" s="8" t="s">
        <v>78</v>
      </c>
      <c r="H159" s="8" t="s">
        <v>91</v>
      </c>
      <c r="I159" s="9">
        <v>19</v>
      </c>
      <c r="J159" s="9">
        <v>5.665</v>
      </c>
      <c r="K159" s="9">
        <v>5.3</v>
      </c>
      <c r="L159" s="9">
        <v>37</v>
      </c>
      <c r="M159" s="9">
        <v>10.3</v>
      </c>
      <c r="N159" s="9">
        <v>10.4</v>
      </c>
      <c r="O159" s="9">
        <v>0</v>
      </c>
      <c r="P159" s="9">
        <f t="shared" si="8"/>
        <v>30.558999999999997</v>
      </c>
      <c r="Q159" s="9">
        <f t="shared" si="9"/>
        <v>28.393696690390797</v>
      </c>
      <c r="R159" s="8">
        <v>0</v>
      </c>
      <c r="S159" s="8">
        <v>1</v>
      </c>
      <c r="T159" s="10" t="s">
        <v>93</v>
      </c>
    </row>
    <row r="160" spans="1:20" x14ac:dyDescent="0.45">
      <c r="A160" s="8" t="s">
        <v>46</v>
      </c>
      <c r="B160" s="8" t="s">
        <v>47</v>
      </c>
      <c r="C160" s="8" t="s">
        <v>71</v>
      </c>
      <c r="D160" s="8" t="s">
        <v>72</v>
      </c>
      <c r="E160" s="8" t="s">
        <v>73</v>
      </c>
      <c r="F160" s="8" t="s">
        <v>74</v>
      </c>
      <c r="G160" s="8" t="s">
        <v>75</v>
      </c>
      <c r="H160" s="8" t="s">
        <v>76</v>
      </c>
      <c r="I160" s="9">
        <v>15</v>
      </c>
      <c r="J160" s="9">
        <v>3.5</v>
      </c>
      <c r="K160" s="9">
        <v>3.5</v>
      </c>
      <c r="L160" s="9">
        <v>37</v>
      </c>
      <c r="M160" s="9">
        <v>10.3</v>
      </c>
      <c r="N160" s="9">
        <v>10.4</v>
      </c>
      <c r="O160" s="9">
        <v>0</v>
      </c>
      <c r="P160" s="9">
        <f t="shared" si="8"/>
        <v>22.9</v>
      </c>
      <c r="Q160" s="9">
        <f t="shared" si="9"/>
        <v>21.852187604370439</v>
      </c>
      <c r="R160" s="8">
        <v>1</v>
      </c>
      <c r="S160" s="8">
        <v>1</v>
      </c>
      <c r="T160" s="10" t="s">
        <v>77</v>
      </c>
    </row>
    <row r="161" spans="1:20" x14ac:dyDescent="0.45">
      <c r="A161" s="8" t="s">
        <v>46</v>
      </c>
      <c r="B161" s="8" t="s">
        <v>47</v>
      </c>
      <c r="C161" s="8" t="s">
        <v>71</v>
      </c>
      <c r="D161" s="8" t="s">
        <v>72</v>
      </c>
      <c r="E161" s="8" t="s">
        <v>73</v>
      </c>
      <c r="F161" s="8" t="s">
        <v>74</v>
      </c>
      <c r="G161" s="8" t="s">
        <v>78</v>
      </c>
      <c r="H161" s="8" t="s">
        <v>76</v>
      </c>
      <c r="I161" s="9">
        <v>15</v>
      </c>
      <c r="J161" s="9">
        <v>3.75</v>
      </c>
      <c r="K161" s="9">
        <v>3.5</v>
      </c>
      <c r="L161" s="9">
        <v>37</v>
      </c>
      <c r="M161" s="9">
        <v>10.3</v>
      </c>
      <c r="N161" s="9">
        <v>10.4</v>
      </c>
      <c r="O161" s="9">
        <v>0</v>
      </c>
      <c r="P161" s="9">
        <f t="shared" si="8"/>
        <v>23.15</v>
      </c>
      <c r="Q161" s="9">
        <f t="shared" si="9"/>
        <v>22.038174115855107</v>
      </c>
      <c r="R161" s="8">
        <v>1</v>
      </c>
      <c r="S161" s="8">
        <v>1</v>
      </c>
      <c r="T161" s="10" t="s">
        <v>79</v>
      </c>
    </row>
    <row r="162" spans="1:20" x14ac:dyDescent="0.45">
      <c r="A162" s="8" t="s">
        <v>46</v>
      </c>
      <c r="B162" s="8" t="s">
        <v>47</v>
      </c>
      <c r="C162" s="8" t="s">
        <v>71</v>
      </c>
      <c r="D162" s="8" t="s">
        <v>72</v>
      </c>
      <c r="E162" s="8" t="s">
        <v>73</v>
      </c>
      <c r="F162" s="8" t="s">
        <v>80</v>
      </c>
      <c r="G162" s="8" t="s">
        <v>75</v>
      </c>
      <c r="H162" s="8" t="s">
        <v>76</v>
      </c>
      <c r="I162" s="9">
        <v>15</v>
      </c>
      <c r="J162" s="9">
        <v>5.3</v>
      </c>
      <c r="K162" s="9">
        <v>5.3</v>
      </c>
      <c r="L162" s="9">
        <v>37</v>
      </c>
      <c r="M162" s="9">
        <v>10.3</v>
      </c>
      <c r="N162" s="9">
        <v>10.4</v>
      </c>
      <c r="O162" s="9">
        <v>0</v>
      </c>
      <c r="P162" s="9">
        <f t="shared" ref="P162:P193" si="10">I162*(1+M162/100+N162/100+O162/100)+J162+L162/100*K162</f>
        <v>25.366</v>
      </c>
      <c r="Q162" s="9">
        <f t="shared" ref="Q162:Q193" si="11">P162/(1+J162/100+L162/100*K162/100)</f>
        <v>23.648856527535642</v>
      </c>
      <c r="R162" s="8">
        <v>1</v>
      </c>
      <c r="S162" s="8">
        <v>1</v>
      </c>
      <c r="T162" s="10" t="s">
        <v>77</v>
      </c>
    </row>
    <row r="163" spans="1:20" x14ac:dyDescent="0.45">
      <c r="A163" s="8" t="s">
        <v>46</v>
      </c>
      <c r="B163" s="8" t="s">
        <v>47</v>
      </c>
      <c r="C163" s="8" t="s">
        <v>71</v>
      </c>
      <c r="D163" s="8" t="s">
        <v>72</v>
      </c>
      <c r="E163" s="8" t="s">
        <v>73</v>
      </c>
      <c r="F163" s="8" t="s">
        <v>80</v>
      </c>
      <c r="G163" s="8" t="s">
        <v>78</v>
      </c>
      <c r="H163" s="8" t="s">
        <v>76</v>
      </c>
      <c r="I163" s="9">
        <v>15</v>
      </c>
      <c r="J163" s="9">
        <v>5.665</v>
      </c>
      <c r="K163" s="9">
        <v>5.3</v>
      </c>
      <c r="L163" s="9">
        <v>37</v>
      </c>
      <c r="M163" s="9">
        <v>10.3</v>
      </c>
      <c r="N163" s="9">
        <v>10.4</v>
      </c>
      <c r="O163" s="9">
        <v>0</v>
      </c>
      <c r="P163" s="9">
        <f t="shared" si="10"/>
        <v>25.730999999999998</v>
      </c>
      <c r="Q163" s="9">
        <f t="shared" si="11"/>
        <v>23.907791797521043</v>
      </c>
      <c r="R163" s="8">
        <v>1</v>
      </c>
      <c r="S163" s="8">
        <v>1</v>
      </c>
      <c r="T163" s="10" t="s">
        <v>79</v>
      </c>
    </row>
    <row r="164" spans="1:20" x14ac:dyDescent="0.45">
      <c r="A164" s="8" t="s">
        <v>46</v>
      </c>
      <c r="B164" s="8" t="s">
        <v>47</v>
      </c>
      <c r="C164" s="8" t="s">
        <v>71</v>
      </c>
      <c r="D164" s="8" t="s">
        <v>72</v>
      </c>
      <c r="E164" s="8" t="s">
        <v>73</v>
      </c>
      <c r="F164" s="8" t="s">
        <v>81</v>
      </c>
      <c r="G164" s="8" t="s">
        <v>75</v>
      </c>
      <c r="H164" s="8" t="s">
        <v>82</v>
      </c>
      <c r="I164" s="9">
        <v>23.2</v>
      </c>
      <c r="J164" s="9">
        <v>7</v>
      </c>
      <c r="K164" s="9">
        <v>7</v>
      </c>
      <c r="L164" s="9">
        <v>37</v>
      </c>
      <c r="M164" s="9">
        <v>10.3</v>
      </c>
      <c r="N164" s="9">
        <v>10.4</v>
      </c>
      <c r="O164" s="9">
        <v>0</v>
      </c>
      <c r="P164" s="9">
        <f t="shared" si="10"/>
        <v>37.592399999999998</v>
      </c>
      <c r="Q164" s="9">
        <f t="shared" si="11"/>
        <v>34.302764850807549</v>
      </c>
      <c r="R164" s="8">
        <v>1</v>
      </c>
      <c r="S164" s="8">
        <v>1</v>
      </c>
      <c r="T164" s="10" t="s">
        <v>77</v>
      </c>
    </row>
    <row r="165" spans="1:20" x14ac:dyDescent="0.45">
      <c r="A165" s="8" t="s">
        <v>46</v>
      </c>
      <c r="B165" s="8" t="s">
        <v>47</v>
      </c>
      <c r="C165" s="8" t="s">
        <v>71</v>
      </c>
      <c r="D165" s="8" t="s">
        <v>72</v>
      </c>
      <c r="E165" s="8" t="s">
        <v>73</v>
      </c>
      <c r="F165" s="8" t="s">
        <v>81</v>
      </c>
      <c r="G165" s="8" t="s">
        <v>78</v>
      </c>
      <c r="H165" s="8" t="s">
        <v>82</v>
      </c>
      <c r="I165" s="9">
        <v>23.2</v>
      </c>
      <c r="J165" s="9">
        <v>7.48</v>
      </c>
      <c r="K165" s="9">
        <v>7</v>
      </c>
      <c r="L165" s="9">
        <v>37</v>
      </c>
      <c r="M165" s="9">
        <v>10.3</v>
      </c>
      <c r="N165" s="9">
        <v>10.4</v>
      </c>
      <c r="O165" s="9">
        <v>0</v>
      </c>
      <c r="P165" s="9">
        <f t="shared" si="10"/>
        <v>38.072400000000002</v>
      </c>
      <c r="Q165" s="9">
        <f t="shared" si="11"/>
        <v>34.589261379122377</v>
      </c>
      <c r="R165" s="8">
        <v>1</v>
      </c>
      <c r="S165" s="8">
        <v>1</v>
      </c>
      <c r="T165" s="10" t="s">
        <v>79</v>
      </c>
    </row>
    <row r="166" spans="1:20" x14ac:dyDescent="0.45">
      <c r="A166" s="8" t="s">
        <v>46</v>
      </c>
      <c r="B166" s="8" t="s">
        <v>47</v>
      </c>
      <c r="C166" s="8" t="s">
        <v>71</v>
      </c>
      <c r="D166" s="8" t="s">
        <v>72</v>
      </c>
      <c r="E166" s="8" t="s">
        <v>73</v>
      </c>
      <c r="F166" s="8" t="s">
        <v>74</v>
      </c>
      <c r="G166" s="8" t="s">
        <v>78</v>
      </c>
      <c r="H166" s="8" t="s">
        <v>96</v>
      </c>
      <c r="I166" s="9">
        <v>17</v>
      </c>
      <c r="J166" s="9">
        <v>3.75</v>
      </c>
      <c r="K166" s="9">
        <v>3.5</v>
      </c>
      <c r="L166" s="9">
        <v>37</v>
      </c>
      <c r="M166" s="9">
        <v>10.3</v>
      </c>
      <c r="N166" s="9">
        <v>10.4</v>
      </c>
      <c r="O166" s="9">
        <v>0</v>
      </c>
      <c r="P166" s="9">
        <f t="shared" si="10"/>
        <v>25.564</v>
      </c>
      <c r="Q166" s="9">
        <f t="shared" si="11"/>
        <v>24.336236850873433</v>
      </c>
      <c r="R166" s="8">
        <v>1</v>
      </c>
      <c r="S166" s="8">
        <v>1</v>
      </c>
      <c r="T166" s="10" t="s">
        <v>97</v>
      </c>
    </row>
    <row r="167" spans="1:20" x14ac:dyDescent="0.45">
      <c r="A167" s="8" t="s">
        <v>46</v>
      </c>
      <c r="B167" s="8" t="s">
        <v>47</v>
      </c>
      <c r="C167" s="8" t="s">
        <v>71</v>
      </c>
      <c r="D167" s="8" t="s">
        <v>72</v>
      </c>
      <c r="E167" s="8" t="s">
        <v>73</v>
      </c>
      <c r="F167" s="8" t="s">
        <v>80</v>
      </c>
      <c r="G167" s="8" t="s">
        <v>78</v>
      </c>
      <c r="H167" s="8" t="s">
        <v>96</v>
      </c>
      <c r="I167" s="9">
        <v>17</v>
      </c>
      <c r="J167" s="9">
        <v>5.665</v>
      </c>
      <c r="K167" s="9">
        <v>5.3</v>
      </c>
      <c r="L167" s="9">
        <v>37</v>
      </c>
      <c r="M167" s="9">
        <v>10.3</v>
      </c>
      <c r="N167" s="9">
        <v>10.4</v>
      </c>
      <c r="O167" s="9">
        <v>0</v>
      </c>
      <c r="P167" s="9">
        <f t="shared" si="10"/>
        <v>28.145</v>
      </c>
      <c r="Q167" s="9">
        <f t="shared" si="11"/>
        <v>26.15074424395592</v>
      </c>
      <c r="R167" s="8">
        <v>1</v>
      </c>
      <c r="S167" s="8">
        <v>1</v>
      </c>
      <c r="T167" s="10" t="s">
        <v>97</v>
      </c>
    </row>
    <row r="168" spans="1:20" x14ac:dyDescent="0.45">
      <c r="A168" s="8" t="s">
        <v>46</v>
      </c>
      <c r="B168" s="8" t="s">
        <v>47</v>
      </c>
      <c r="C168" s="8" t="s">
        <v>71</v>
      </c>
      <c r="D168" s="8" t="s">
        <v>72</v>
      </c>
      <c r="E168" s="8" t="s">
        <v>83</v>
      </c>
      <c r="F168" s="8" t="s">
        <v>94</v>
      </c>
      <c r="G168" s="8" t="s">
        <v>78</v>
      </c>
      <c r="H168" s="8" t="s">
        <v>82</v>
      </c>
      <c r="I168" s="9">
        <v>23.2</v>
      </c>
      <c r="J168" s="9">
        <v>1.18</v>
      </c>
      <c r="K168" s="9">
        <v>1</v>
      </c>
      <c r="L168" s="9">
        <v>260</v>
      </c>
      <c r="M168" s="9">
        <v>10.3</v>
      </c>
      <c r="N168" s="9">
        <v>10.4</v>
      </c>
      <c r="O168" s="9">
        <v>0</v>
      </c>
      <c r="P168" s="9">
        <f t="shared" si="10"/>
        <v>31.782400000000003</v>
      </c>
      <c r="Q168" s="9">
        <f t="shared" si="11"/>
        <v>30.624783195220662</v>
      </c>
      <c r="R168" s="8">
        <v>1</v>
      </c>
      <c r="S168" s="8">
        <v>1</v>
      </c>
      <c r="T168" s="10" t="s">
        <v>95</v>
      </c>
    </row>
    <row r="169" spans="1:20" ht="26.25" x14ac:dyDescent="0.45">
      <c r="A169" s="8" t="s">
        <v>46</v>
      </c>
      <c r="B169" s="8" t="s">
        <v>47</v>
      </c>
      <c r="C169" s="8" t="s">
        <v>85</v>
      </c>
      <c r="D169" s="8" t="s">
        <v>86</v>
      </c>
      <c r="E169" s="8" t="s">
        <v>73</v>
      </c>
      <c r="F169" s="8" t="s">
        <v>87</v>
      </c>
      <c r="G169" s="8" t="s">
        <v>75</v>
      </c>
      <c r="H169" s="8" t="s">
        <v>88</v>
      </c>
      <c r="I169" s="9">
        <v>15</v>
      </c>
      <c r="J169" s="9">
        <v>7</v>
      </c>
      <c r="K169" s="9">
        <v>7</v>
      </c>
      <c r="L169" s="9">
        <v>37</v>
      </c>
      <c r="M169" s="9">
        <v>10.3</v>
      </c>
      <c r="N169" s="9">
        <v>10.4</v>
      </c>
      <c r="O169" s="9">
        <v>0</v>
      </c>
      <c r="P169" s="9">
        <f t="shared" si="10"/>
        <v>27.695</v>
      </c>
      <c r="Q169" s="9">
        <f t="shared" si="11"/>
        <v>25.27146637466922</v>
      </c>
      <c r="R169" s="8">
        <v>0</v>
      </c>
      <c r="S169" s="8">
        <v>1</v>
      </c>
      <c r="T169" s="10" t="s">
        <v>89</v>
      </c>
    </row>
    <row r="170" spans="1:20" ht="26.25" x14ac:dyDescent="0.45">
      <c r="A170" s="8" t="s">
        <v>46</v>
      </c>
      <c r="B170" s="8" t="s">
        <v>47</v>
      </c>
      <c r="C170" s="8" t="s">
        <v>85</v>
      </c>
      <c r="D170" s="8" t="s">
        <v>86</v>
      </c>
      <c r="E170" s="8" t="s">
        <v>73</v>
      </c>
      <c r="F170" s="8" t="s">
        <v>87</v>
      </c>
      <c r="G170" s="8" t="s">
        <v>78</v>
      </c>
      <c r="H170" s="8" t="s">
        <v>88</v>
      </c>
      <c r="I170" s="9">
        <v>15</v>
      </c>
      <c r="J170" s="9">
        <v>7.48</v>
      </c>
      <c r="K170" s="9">
        <v>7</v>
      </c>
      <c r="L170" s="9">
        <v>37</v>
      </c>
      <c r="M170" s="9">
        <v>10.3</v>
      </c>
      <c r="N170" s="9">
        <v>10.4</v>
      </c>
      <c r="O170" s="9">
        <v>0</v>
      </c>
      <c r="P170" s="9">
        <f t="shared" si="10"/>
        <v>28.175000000000001</v>
      </c>
      <c r="Q170" s="9">
        <f t="shared" si="11"/>
        <v>25.597347142727354</v>
      </c>
      <c r="R170" s="8">
        <v>0</v>
      </c>
      <c r="S170" s="8">
        <v>1</v>
      </c>
      <c r="T170" s="10" t="s">
        <v>89</v>
      </c>
    </row>
    <row r="171" spans="1:20" ht="26.25" x14ac:dyDescent="0.45">
      <c r="A171" s="8" t="s">
        <v>46</v>
      </c>
      <c r="B171" s="8" t="s">
        <v>47</v>
      </c>
      <c r="C171" s="8" t="s">
        <v>85</v>
      </c>
      <c r="D171" s="8" t="s">
        <v>86</v>
      </c>
      <c r="E171" s="8" t="s">
        <v>73</v>
      </c>
      <c r="F171" s="8" t="s">
        <v>87</v>
      </c>
      <c r="G171" s="8" t="s">
        <v>78</v>
      </c>
      <c r="H171" s="8" t="s">
        <v>96</v>
      </c>
      <c r="I171" s="9">
        <v>17</v>
      </c>
      <c r="J171" s="9">
        <v>7.48</v>
      </c>
      <c r="K171" s="9">
        <v>7</v>
      </c>
      <c r="L171" s="9">
        <v>37</v>
      </c>
      <c r="M171" s="9">
        <v>10.3</v>
      </c>
      <c r="N171" s="9">
        <v>10.4</v>
      </c>
      <c r="O171" s="9">
        <v>0</v>
      </c>
      <c r="P171" s="9">
        <f t="shared" si="10"/>
        <v>30.589000000000002</v>
      </c>
      <c r="Q171" s="9">
        <f t="shared" si="11"/>
        <v>27.79049695648224</v>
      </c>
      <c r="R171" s="8">
        <v>0</v>
      </c>
      <c r="S171" s="8">
        <v>1</v>
      </c>
      <c r="T171" s="10" t="s">
        <v>89</v>
      </c>
    </row>
    <row r="172" spans="1:20" ht="39.4" x14ac:dyDescent="0.45">
      <c r="A172" s="8" t="s">
        <v>46</v>
      </c>
      <c r="B172" s="8" t="s">
        <v>47</v>
      </c>
      <c r="C172" s="8" t="s">
        <v>85</v>
      </c>
      <c r="D172" s="8" t="s">
        <v>90</v>
      </c>
      <c r="E172" s="8" t="s">
        <v>73</v>
      </c>
      <c r="F172" s="8" t="s">
        <v>87</v>
      </c>
      <c r="G172" s="8" t="s">
        <v>78</v>
      </c>
      <c r="H172" s="8" t="s">
        <v>91</v>
      </c>
      <c r="I172" s="9">
        <v>19</v>
      </c>
      <c r="J172" s="9">
        <v>7.48</v>
      </c>
      <c r="K172" s="9">
        <v>7</v>
      </c>
      <c r="L172" s="9">
        <v>37</v>
      </c>
      <c r="M172" s="9">
        <v>10.3</v>
      </c>
      <c r="N172" s="9">
        <v>10.4</v>
      </c>
      <c r="O172" s="9">
        <v>0</v>
      </c>
      <c r="P172" s="9">
        <f t="shared" si="10"/>
        <v>33.003</v>
      </c>
      <c r="Q172" s="9">
        <f t="shared" si="11"/>
        <v>29.983646770237122</v>
      </c>
      <c r="R172" s="8">
        <v>0</v>
      </c>
      <c r="S172" s="8">
        <v>1</v>
      </c>
      <c r="T172" s="10" t="s">
        <v>92</v>
      </c>
    </row>
    <row r="173" spans="1:20" x14ac:dyDescent="0.45">
      <c r="A173" s="8" t="s">
        <v>46</v>
      </c>
      <c r="B173" s="8" t="s">
        <v>47</v>
      </c>
      <c r="C173" s="8" t="s">
        <v>85</v>
      </c>
      <c r="D173" s="8" t="s">
        <v>90</v>
      </c>
      <c r="E173" s="8" t="s">
        <v>73</v>
      </c>
      <c r="F173" s="8" t="s">
        <v>74</v>
      </c>
      <c r="G173" s="8" t="s">
        <v>78</v>
      </c>
      <c r="H173" s="8" t="s">
        <v>91</v>
      </c>
      <c r="I173" s="9">
        <v>19</v>
      </c>
      <c r="J173" s="9">
        <v>3.75</v>
      </c>
      <c r="K173" s="9">
        <v>3.5</v>
      </c>
      <c r="L173" s="9">
        <v>37</v>
      </c>
      <c r="M173" s="9">
        <v>10.3</v>
      </c>
      <c r="N173" s="9">
        <v>10.4</v>
      </c>
      <c r="O173" s="9">
        <v>0</v>
      </c>
      <c r="P173" s="9">
        <f t="shared" si="10"/>
        <v>27.978000000000002</v>
      </c>
      <c r="Q173" s="9">
        <f t="shared" si="11"/>
        <v>26.63429958589176</v>
      </c>
      <c r="R173" s="8">
        <v>0</v>
      </c>
      <c r="S173" s="8">
        <v>1</v>
      </c>
      <c r="T173" s="10" t="s">
        <v>93</v>
      </c>
    </row>
    <row r="174" spans="1:20" x14ac:dyDescent="0.45">
      <c r="A174" s="8" t="s">
        <v>46</v>
      </c>
      <c r="B174" s="8" t="s">
        <v>47</v>
      </c>
      <c r="C174" s="8" t="s">
        <v>85</v>
      </c>
      <c r="D174" s="8" t="s">
        <v>90</v>
      </c>
      <c r="E174" s="8" t="s">
        <v>73</v>
      </c>
      <c r="F174" s="8" t="s">
        <v>80</v>
      </c>
      <c r="G174" s="8" t="s">
        <v>78</v>
      </c>
      <c r="H174" s="8" t="s">
        <v>91</v>
      </c>
      <c r="I174" s="9">
        <v>19</v>
      </c>
      <c r="J174" s="9">
        <v>5.665</v>
      </c>
      <c r="K174" s="9">
        <v>5.3</v>
      </c>
      <c r="L174" s="9">
        <v>37</v>
      </c>
      <c r="M174" s="9">
        <v>10.3</v>
      </c>
      <c r="N174" s="9">
        <v>10.4</v>
      </c>
      <c r="O174" s="9">
        <v>0</v>
      </c>
      <c r="P174" s="9">
        <f t="shared" si="10"/>
        <v>30.558999999999997</v>
      </c>
      <c r="Q174" s="9">
        <f t="shared" si="11"/>
        <v>28.393696690390797</v>
      </c>
      <c r="R174" s="8">
        <v>0</v>
      </c>
      <c r="S174" s="8">
        <v>1</v>
      </c>
      <c r="T174" s="10" t="s">
        <v>93</v>
      </c>
    </row>
    <row r="175" spans="1:20" x14ac:dyDescent="0.45">
      <c r="A175" s="8" t="s">
        <v>49</v>
      </c>
      <c r="B175" s="8" t="s">
        <v>50</v>
      </c>
      <c r="C175" s="8" t="s">
        <v>71</v>
      </c>
      <c r="D175" s="8" t="s">
        <v>72</v>
      </c>
      <c r="E175" s="8" t="s">
        <v>73</v>
      </c>
      <c r="F175" s="8" t="s">
        <v>74</v>
      </c>
      <c r="G175" s="8" t="s">
        <v>75</v>
      </c>
      <c r="H175" s="8" t="s">
        <v>76</v>
      </c>
      <c r="I175" s="9">
        <v>15</v>
      </c>
      <c r="J175" s="9">
        <v>3.5</v>
      </c>
      <c r="K175" s="9">
        <v>3.5</v>
      </c>
      <c r="L175" s="9">
        <v>37</v>
      </c>
      <c r="M175" s="9">
        <v>10.3</v>
      </c>
      <c r="N175" s="9">
        <v>10.4</v>
      </c>
      <c r="O175" s="9">
        <v>4</v>
      </c>
      <c r="P175" s="9">
        <f t="shared" si="10"/>
        <v>23.5</v>
      </c>
      <c r="Q175" s="9">
        <f t="shared" si="11"/>
        <v>22.424734004484947</v>
      </c>
      <c r="R175" s="8">
        <v>1</v>
      </c>
      <c r="S175" s="8">
        <v>1</v>
      </c>
      <c r="T175" s="10" t="s">
        <v>77</v>
      </c>
    </row>
    <row r="176" spans="1:20" x14ac:dyDescent="0.45">
      <c r="A176" s="8" t="s">
        <v>49</v>
      </c>
      <c r="B176" s="8" t="s">
        <v>50</v>
      </c>
      <c r="C176" s="8" t="s">
        <v>71</v>
      </c>
      <c r="D176" s="8" t="s">
        <v>72</v>
      </c>
      <c r="E176" s="8" t="s">
        <v>73</v>
      </c>
      <c r="F176" s="8" t="s">
        <v>74</v>
      </c>
      <c r="G176" s="8" t="s">
        <v>78</v>
      </c>
      <c r="H176" s="8" t="s">
        <v>76</v>
      </c>
      <c r="I176" s="9">
        <v>15</v>
      </c>
      <c r="J176" s="9">
        <v>3.75</v>
      </c>
      <c r="K176" s="9">
        <v>3.5</v>
      </c>
      <c r="L176" s="9">
        <v>37</v>
      </c>
      <c r="M176" s="9">
        <v>10.3</v>
      </c>
      <c r="N176" s="9">
        <v>10.4</v>
      </c>
      <c r="O176" s="9">
        <v>4</v>
      </c>
      <c r="P176" s="9">
        <f t="shared" si="10"/>
        <v>23.75</v>
      </c>
      <c r="Q176" s="9">
        <f t="shared" si="11"/>
        <v>22.609357894235803</v>
      </c>
      <c r="R176" s="8">
        <v>1</v>
      </c>
      <c r="S176" s="8">
        <v>1</v>
      </c>
      <c r="T176" s="10" t="s">
        <v>79</v>
      </c>
    </row>
    <row r="177" spans="1:20" x14ac:dyDescent="0.45">
      <c r="A177" s="8" t="s">
        <v>49</v>
      </c>
      <c r="B177" s="8" t="s">
        <v>50</v>
      </c>
      <c r="C177" s="8" t="s">
        <v>71</v>
      </c>
      <c r="D177" s="8" t="s">
        <v>72</v>
      </c>
      <c r="E177" s="8" t="s">
        <v>73</v>
      </c>
      <c r="F177" s="8" t="s">
        <v>80</v>
      </c>
      <c r="G177" s="8" t="s">
        <v>75</v>
      </c>
      <c r="H177" s="8" t="s">
        <v>76</v>
      </c>
      <c r="I177" s="9">
        <v>15</v>
      </c>
      <c r="J177" s="9">
        <v>5.3</v>
      </c>
      <c r="K177" s="9">
        <v>5.3</v>
      </c>
      <c r="L177" s="9">
        <v>37</v>
      </c>
      <c r="M177" s="9">
        <v>10.3</v>
      </c>
      <c r="N177" s="9">
        <v>10.4</v>
      </c>
      <c r="O177" s="9">
        <v>4</v>
      </c>
      <c r="P177" s="9">
        <f t="shared" si="10"/>
        <v>25.966000000000001</v>
      </c>
      <c r="Q177" s="9">
        <f t="shared" si="11"/>
        <v>24.208239714341659</v>
      </c>
      <c r="R177" s="8">
        <v>1</v>
      </c>
      <c r="S177" s="8">
        <v>1</v>
      </c>
      <c r="T177" s="10" t="s">
        <v>77</v>
      </c>
    </row>
    <row r="178" spans="1:20" x14ac:dyDescent="0.45">
      <c r="A178" s="8" t="s">
        <v>49</v>
      </c>
      <c r="B178" s="8" t="s">
        <v>50</v>
      </c>
      <c r="C178" s="8" t="s">
        <v>71</v>
      </c>
      <c r="D178" s="8" t="s">
        <v>72</v>
      </c>
      <c r="E178" s="8" t="s">
        <v>73</v>
      </c>
      <c r="F178" s="8" t="s">
        <v>80</v>
      </c>
      <c r="G178" s="8" t="s">
        <v>78</v>
      </c>
      <c r="H178" s="8" t="s">
        <v>76</v>
      </c>
      <c r="I178" s="9">
        <v>15</v>
      </c>
      <c r="J178" s="9">
        <v>5.665</v>
      </c>
      <c r="K178" s="9">
        <v>5.3</v>
      </c>
      <c r="L178" s="9">
        <v>37</v>
      </c>
      <c r="M178" s="9">
        <v>10.3</v>
      </c>
      <c r="N178" s="9">
        <v>10.4</v>
      </c>
      <c r="O178" s="9">
        <v>4</v>
      </c>
      <c r="P178" s="9">
        <f t="shared" si="10"/>
        <v>26.331</v>
      </c>
      <c r="Q178" s="9">
        <f t="shared" si="11"/>
        <v>24.465277906825488</v>
      </c>
      <c r="R178" s="8">
        <v>1</v>
      </c>
      <c r="S178" s="8">
        <v>1</v>
      </c>
      <c r="T178" s="10" t="s">
        <v>79</v>
      </c>
    </row>
    <row r="179" spans="1:20" x14ac:dyDescent="0.45">
      <c r="A179" s="8" t="s">
        <v>49</v>
      </c>
      <c r="B179" s="8" t="s">
        <v>50</v>
      </c>
      <c r="C179" s="8" t="s">
        <v>71</v>
      </c>
      <c r="D179" s="8" t="s">
        <v>72</v>
      </c>
      <c r="E179" s="8" t="s">
        <v>73</v>
      </c>
      <c r="F179" s="8" t="s">
        <v>81</v>
      </c>
      <c r="G179" s="8" t="s">
        <v>75</v>
      </c>
      <c r="H179" s="8" t="s">
        <v>82</v>
      </c>
      <c r="I179" s="9">
        <v>23.2</v>
      </c>
      <c r="J179" s="9">
        <v>7</v>
      </c>
      <c r="K179" s="9">
        <v>7</v>
      </c>
      <c r="L179" s="9">
        <v>37</v>
      </c>
      <c r="M179" s="9">
        <v>10.3</v>
      </c>
      <c r="N179" s="9">
        <v>10.4</v>
      </c>
      <c r="O179" s="9">
        <v>4</v>
      </c>
      <c r="P179" s="9">
        <f t="shared" si="10"/>
        <v>38.520400000000009</v>
      </c>
      <c r="Q179" s="9">
        <f t="shared" si="11"/>
        <v>35.149557441372394</v>
      </c>
      <c r="R179" s="8">
        <v>1</v>
      </c>
      <c r="S179" s="8">
        <v>1</v>
      </c>
      <c r="T179" s="10" t="s">
        <v>77</v>
      </c>
    </row>
    <row r="180" spans="1:20" x14ac:dyDescent="0.45">
      <c r="A180" s="8" t="s">
        <v>49</v>
      </c>
      <c r="B180" s="8" t="s">
        <v>50</v>
      </c>
      <c r="C180" s="8" t="s">
        <v>71</v>
      </c>
      <c r="D180" s="8" t="s">
        <v>72</v>
      </c>
      <c r="E180" s="8" t="s">
        <v>73</v>
      </c>
      <c r="F180" s="8" t="s">
        <v>81</v>
      </c>
      <c r="G180" s="8" t="s">
        <v>78</v>
      </c>
      <c r="H180" s="8" t="s">
        <v>82</v>
      </c>
      <c r="I180" s="9">
        <v>23.2</v>
      </c>
      <c r="J180" s="9">
        <v>7.48</v>
      </c>
      <c r="K180" s="9">
        <v>7</v>
      </c>
      <c r="L180" s="9">
        <v>37</v>
      </c>
      <c r="M180" s="9">
        <v>10.3</v>
      </c>
      <c r="N180" s="9">
        <v>10.4</v>
      </c>
      <c r="O180" s="9">
        <v>4</v>
      </c>
      <c r="P180" s="9">
        <f t="shared" si="10"/>
        <v>39.000399999999999</v>
      </c>
      <c r="Q180" s="9">
        <f t="shared" si="11"/>
        <v>35.432361224675205</v>
      </c>
      <c r="R180" s="8">
        <v>1</v>
      </c>
      <c r="S180" s="8">
        <v>1</v>
      </c>
      <c r="T180" s="10" t="s">
        <v>79</v>
      </c>
    </row>
    <row r="181" spans="1:20" x14ac:dyDescent="0.45">
      <c r="A181" s="8" t="s">
        <v>49</v>
      </c>
      <c r="B181" s="8" t="s">
        <v>50</v>
      </c>
      <c r="C181" s="8" t="s">
        <v>71</v>
      </c>
      <c r="D181" s="8" t="s">
        <v>72</v>
      </c>
      <c r="E181" s="8" t="s">
        <v>73</v>
      </c>
      <c r="F181" s="8" t="s">
        <v>74</v>
      </c>
      <c r="G181" s="8" t="s">
        <v>78</v>
      </c>
      <c r="H181" s="8" t="s">
        <v>96</v>
      </c>
      <c r="I181" s="9">
        <v>17</v>
      </c>
      <c r="J181" s="9">
        <v>3.75</v>
      </c>
      <c r="K181" s="9">
        <v>3.5</v>
      </c>
      <c r="L181" s="9">
        <v>37</v>
      </c>
      <c r="M181" s="9">
        <v>10.3</v>
      </c>
      <c r="N181" s="9">
        <v>10.4</v>
      </c>
      <c r="O181" s="9">
        <v>4</v>
      </c>
      <c r="P181" s="9">
        <f t="shared" si="10"/>
        <v>26.244</v>
      </c>
      <c r="Q181" s="9">
        <f t="shared" si="11"/>
        <v>24.983578466371551</v>
      </c>
      <c r="R181" s="8">
        <v>1</v>
      </c>
      <c r="S181" s="8">
        <v>1</v>
      </c>
      <c r="T181" s="10" t="s">
        <v>97</v>
      </c>
    </row>
    <row r="182" spans="1:20" x14ac:dyDescent="0.45">
      <c r="A182" s="8" t="s">
        <v>49</v>
      </c>
      <c r="B182" s="8" t="s">
        <v>50</v>
      </c>
      <c r="C182" s="8" t="s">
        <v>71</v>
      </c>
      <c r="D182" s="8" t="s">
        <v>72</v>
      </c>
      <c r="E182" s="8" t="s">
        <v>73</v>
      </c>
      <c r="F182" s="8" t="s">
        <v>80</v>
      </c>
      <c r="G182" s="8" t="s">
        <v>78</v>
      </c>
      <c r="H182" s="8" t="s">
        <v>96</v>
      </c>
      <c r="I182" s="9">
        <v>17</v>
      </c>
      <c r="J182" s="9">
        <v>5.665</v>
      </c>
      <c r="K182" s="9">
        <v>5.3</v>
      </c>
      <c r="L182" s="9">
        <v>37</v>
      </c>
      <c r="M182" s="9">
        <v>10.3</v>
      </c>
      <c r="N182" s="9">
        <v>10.4</v>
      </c>
      <c r="O182" s="9">
        <v>4</v>
      </c>
      <c r="P182" s="9">
        <f t="shared" si="10"/>
        <v>28.824999999999999</v>
      </c>
      <c r="Q182" s="9">
        <f t="shared" si="11"/>
        <v>26.782561834500957</v>
      </c>
      <c r="R182" s="8">
        <v>1</v>
      </c>
      <c r="S182" s="8">
        <v>1</v>
      </c>
      <c r="T182" s="10" t="s">
        <v>97</v>
      </c>
    </row>
    <row r="183" spans="1:20" x14ac:dyDescent="0.45">
      <c r="A183" s="8" t="s">
        <v>49</v>
      </c>
      <c r="B183" s="8" t="s">
        <v>50</v>
      </c>
      <c r="C183" s="8" t="s">
        <v>71</v>
      </c>
      <c r="D183" s="8" t="s">
        <v>72</v>
      </c>
      <c r="E183" s="8" t="s">
        <v>83</v>
      </c>
      <c r="F183" s="8" t="s">
        <v>94</v>
      </c>
      <c r="G183" s="8" t="s">
        <v>78</v>
      </c>
      <c r="H183" s="8" t="s">
        <v>82</v>
      </c>
      <c r="I183" s="9">
        <v>23.2</v>
      </c>
      <c r="J183" s="9">
        <v>1.18</v>
      </c>
      <c r="K183" s="9">
        <v>1</v>
      </c>
      <c r="L183" s="9">
        <v>260</v>
      </c>
      <c r="M183" s="9">
        <v>10.3</v>
      </c>
      <c r="N183" s="9">
        <v>10.4</v>
      </c>
      <c r="O183" s="9">
        <v>4</v>
      </c>
      <c r="P183" s="9">
        <f t="shared" si="10"/>
        <v>32.7104</v>
      </c>
      <c r="Q183" s="9">
        <f t="shared" si="11"/>
        <v>31.51898246290229</v>
      </c>
      <c r="R183" s="8">
        <v>1</v>
      </c>
      <c r="S183" s="8">
        <v>1</v>
      </c>
      <c r="T183" s="10" t="s">
        <v>95</v>
      </c>
    </row>
    <row r="184" spans="1:20" ht="26.25" x14ac:dyDescent="0.45">
      <c r="A184" s="8" t="s">
        <v>49</v>
      </c>
      <c r="B184" s="8" t="s">
        <v>50</v>
      </c>
      <c r="C184" s="8" t="s">
        <v>85</v>
      </c>
      <c r="D184" s="8" t="s">
        <v>86</v>
      </c>
      <c r="E184" s="8" t="s">
        <v>73</v>
      </c>
      <c r="F184" s="8" t="s">
        <v>87</v>
      </c>
      <c r="G184" s="8" t="s">
        <v>75</v>
      </c>
      <c r="H184" s="8" t="s">
        <v>88</v>
      </c>
      <c r="I184" s="9">
        <v>15</v>
      </c>
      <c r="J184" s="9">
        <v>7</v>
      </c>
      <c r="K184" s="9">
        <v>7</v>
      </c>
      <c r="L184" s="9">
        <v>37</v>
      </c>
      <c r="M184" s="9">
        <v>10.3</v>
      </c>
      <c r="N184" s="9">
        <v>10.4</v>
      </c>
      <c r="O184" s="9">
        <v>4</v>
      </c>
      <c r="P184" s="9">
        <f t="shared" si="10"/>
        <v>28.295000000000002</v>
      </c>
      <c r="Q184" s="9">
        <f t="shared" si="11"/>
        <v>25.818961584086139</v>
      </c>
      <c r="R184" s="8">
        <v>0</v>
      </c>
      <c r="S184" s="8">
        <v>1</v>
      </c>
      <c r="T184" s="10" t="s">
        <v>89</v>
      </c>
    </row>
    <row r="185" spans="1:20" ht="26.25" x14ac:dyDescent="0.45">
      <c r="A185" s="8" t="s">
        <v>49</v>
      </c>
      <c r="B185" s="8" t="s">
        <v>50</v>
      </c>
      <c r="C185" s="8" t="s">
        <v>85</v>
      </c>
      <c r="D185" s="8" t="s">
        <v>86</v>
      </c>
      <c r="E185" s="8" t="s">
        <v>73</v>
      </c>
      <c r="F185" s="8" t="s">
        <v>87</v>
      </c>
      <c r="G185" s="8" t="s">
        <v>78</v>
      </c>
      <c r="H185" s="8" t="s">
        <v>88</v>
      </c>
      <c r="I185" s="9">
        <v>15</v>
      </c>
      <c r="J185" s="9">
        <v>7.48</v>
      </c>
      <c r="K185" s="9">
        <v>7</v>
      </c>
      <c r="L185" s="9">
        <v>37</v>
      </c>
      <c r="M185" s="9">
        <v>10.3</v>
      </c>
      <c r="N185" s="9">
        <v>10.4</v>
      </c>
      <c r="O185" s="9">
        <v>4</v>
      </c>
      <c r="P185" s="9">
        <f t="shared" si="10"/>
        <v>28.775000000000002</v>
      </c>
      <c r="Q185" s="9">
        <f t="shared" si="11"/>
        <v>26.142454801489961</v>
      </c>
      <c r="R185" s="8">
        <v>0</v>
      </c>
      <c r="S185" s="8">
        <v>1</v>
      </c>
      <c r="T185" s="10" t="s">
        <v>89</v>
      </c>
    </row>
    <row r="186" spans="1:20" ht="26.25" x14ac:dyDescent="0.45">
      <c r="A186" s="8" t="s">
        <v>49</v>
      </c>
      <c r="B186" s="8" t="s">
        <v>50</v>
      </c>
      <c r="C186" s="8" t="s">
        <v>85</v>
      </c>
      <c r="D186" s="8" t="s">
        <v>86</v>
      </c>
      <c r="E186" s="8" t="s">
        <v>73</v>
      </c>
      <c r="F186" s="8" t="s">
        <v>87</v>
      </c>
      <c r="G186" s="8" t="s">
        <v>78</v>
      </c>
      <c r="H186" s="8" t="s">
        <v>96</v>
      </c>
      <c r="I186" s="9">
        <v>17</v>
      </c>
      <c r="J186" s="9">
        <v>7.48</v>
      </c>
      <c r="K186" s="9">
        <v>7</v>
      </c>
      <c r="L186" s="9">
        <v>37</v>
      </c>
      <c r="M186" s="9">
        <v>10.3</v>
      </c>
      <c r="N186" s="9">
        <v>10.4</v>
      </c>
      <c r="O186" s="9">
        <v>4</v>
      </c>
      <c r="P186" s="9">
        <f t="shared" si="10"/>
        <v>31.269000000000002</v>
      </c>
      <c r="Q186" s="9">
        <f t="shared" si="11"/>
        <v>28.408285636413193</v>
      </c>
      <c r="R186" s="8">
        <v>0</v>
      </c>
      <c r="S186" s="8">
        <v>1</v>
      </c>
      <c r="T186" s="10" t="s">
        <v>89</v>
      </c>
    </row>
    <row r="187" spans="1:20" ht="39.4" x14ac:dyDescent="0.45">
      <c r="A187" s="8" t="s">
        <v>49</v>
      </c>
      <c r="B187" s="8" t="s">
        <v>50</v>
      </c>
      <c r="C187" s="8" t="s">
        <v>85</v>
      </c>
      <c r="D187" s="8" t="s">
        <v>90</v>
      </c>
      <c r="E187" s="8" t="s">
        <v>73</v>
      </c>
      <c r="F187" s="8" t="s">
        <v>87</v>
      </c>
      <c r="G187" s="8" t="s">
        <v>78</v>
      </c>
      <c r="H187" s="8" t="s">
        <v>91</v>
      </c>
      <c r="I187" s="9">
        <v>19</v>
      </c>
      <c r="J187" s="9">
        <v>7.48</v>
      </c>
      <c r="K187" s="9">
        <v>7</v>
      </c>
      <c r="L187" s="9">
        <v>37</v>
      </c>
      <c r="M187" s="9">
        <v>10.3</v>
      </c>
      <c r="N187" s="9">
        <v>10.4</v>
      </c>
      <c r="O187" s="9">
        <v>4</v>
      </c>
      <c r="P187" s="9">
        <f t="shared" si="10"/>
        <v>33.763000000000005</v>
      </c>
      <c r="Q187" s="9">
        <f t="shared" si="11"/>
        <v>30.674116471336426</v>
      </c>
      <c r="R187" s="8">
        <v>0</v>
      </c>
      <c r="S187" s="8">
        <v>1</v>
      </c>
      <c r="T187" s="10" t="s">
        <v>92</v>
      </c>
    </row>
    <row r="188" spans="1:20" x14ac:dyDescent="0.45">
      <c r="A188" s="8" t="s">
        <v>49</v>
      </c>
      <c r="B188" s="8" t="s">
        <v>50</v>
      </c>
      <c r="C188" s="8" t="s">
        <v>85</v>
      </c>
      <c r="D188" s="8" t="s">
        <v>90</v>
      </c>
      <c r="E188" s="8" t="s">
        <v>73</v>
      </c>
      <c r="F188" s="8" t="s">
        <v>74</v>
      </c>
      <c r="G188" s="8" t="s">
        <v>78</v>
      </c>
      <c r="H188" s="8" t="s">
        <v>91</v>
      </c>
      <c r="I188" s="9">
        <v>19</v>
      </c>
      <c r="J188" s="9">
        <v>3.75</v>
      </c>
      <c r="K188" s="9">
        <v>3.5</v>
      </c>
      <c r="L188" s="9">
        <v>37</v>
      </c>
      <c r="M188" s="9">
        <v>10.3</v>
      </c>
      <c r="N188" s="9">
        <v>10.4</v>
      </c>
      <c r="O188" s="9">
        <v>4</v>
      </c>
      <c r="P188" s="9">
        <f t="shared" si="10"/>
        <v>28.738</v>
      </c>
      <c r="Q188" s="9">
        <f t="shared" si="11"/>
        <v>27.357799038507302</v>
      </c>
      <c r="R188" s="8">
        <v>0</v>
      </c>
      <c r="S188" s="8">
        <v>1</v>
      </c>
      <c r="T188" s="10" t="s">
        <v>93</v>
      </c>
    </row>
    <row r="189" spans="1:20" x14ac:dyDescent="0.45">
      <c r="A189" s="8" t="s">
        <v>49</v>
      </c>
      <c r="B189" s="8" t="s">
        <v>50</v>
      </c>
      <c r="C189" s="8" t="s">
        <v>85</v>
      </c>
      <c r="D189" s="8" t="s">
        <v>90</v>
      </c>
      <c r="E189" s="8" t="s">
        <v>73</v>
      </c>
      <c r="F189" s="8" t="s">
        <v>80</v>
      </c>
      <c r="G189" s="8" t="s">
        <v>78</v>
      </c>
      <c r="H189" s="8" t="s">
        <v>91</v>
      </c>
      <c r="I189" s="9">
        <v>19</v>
      </c>
      <c r="J189" s="9">
        <v>5.665</v>
      </c>
      <c r="K189" s="9">
        <v>5.3</v>
      </c>
      <c r="L189" s="9">
        <v>37</v>
      </c>
      <c r="M189" s="9">
        <v>10.3</v>
      </c>
      <c r="N189" s="9">
        <v>10.4</v>
      </c>
      <c r="O189" s="9">
        <v>4</v>
      </c>
      <c r="P189" s="9">
        <f t="shared" si="10"/>
        <v>31.318999999999999</v>
      </c>
      <c r="Q189" s="9">
        <f t="shared" si="11"/>
        <v>29.099845762176425</v>
      </c>
      <c r="R189" s="8">
        <v>0</v>
      </c>
      <c r="S189" s="8">
        <v>1</v>
      </c>
      <c r="T189" s="10" t="s">
        <v>93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6"/>
  <sheetViews>
    <sheetView zoomScaleNormal="100" workbookViewId="0">
      <pane xSplit="2" ySplit="1" topLeftCell="C2" activePane="bottomRight" state="frozen"/>
      <selection pane="topRight" activeCell="C1" sqref="C1"/>
      <selection pane="bottomLeft" activeCell="A2" sqref="A2"/>
      <selection pane="bottomRight" activeCell="B22" sqref="B22"/>
    </sheetView>
  </sheetViews>
  <sheetFormatPr defaultColWidth="8.6640625" defaultRowHeight="14.25" x14ac:dyDescent="0.45"/>
  <cols>
    <col min="1" max="1" width="10" style="16" customWidth="1"/>
    <col min="2" max="2" width="31" style="16" customWidth="1"/>
    <col min="3" max="15" width="16" style="16" customWidth="1"/>
    <col min="16" max="16384" width="8.6640625" style="16"/>
  </cols>
  <sheetData>
    <row r="1" spans="1:15" ht="69.75" customHeight="1" x14ac:dyDescent="0.45">
      <c r="A1" s="13" t="s">
        <v>2</v>
      </c>
      <c r="B1" s="13" t="s">
        <v>3</v>
      </c>
      <c r="C1" s="13" t="s">
        <v>98</v>
      </c>
      <c r="D1" s="13" t="s">
        <v>99</v>
      </c>
      <c r="E1" s="13" t="s">
        <v>100</v>
      </c>
      <c r="F1" s="13" t="s">
        <v>101</v>
      </c>
      <c r="G1" s="13" t="s">
        <v>102</v>
      </c>
      <c r="H1" s="13" t="s">
        <v>101</v>
      </c>
      <c r="I1" s="13" t="s">
        <v>103</v>
      </c>
      <c r="J1" s="13" t="s">
        <v>104</v>
      </c>
      <c r="K1" s="13" t="s">
        <v>63</v>
      </c>
      <c r="L1" s="13" t="s">
        <v>105</v>
      </c>
      <c r="M1" s="13" t="s">
        <v>106</v>
      </c>
      <c r="N1" s="13" t="s">
        <v>107</v>
      </c>
      <c r="O1" s="13" t="s">
        <v>108</v>
      </c>
    </row>
    <row r="2" spans="1:15" x14ac:dyDescent="0.45">
      <c r="A2" s="14" t="s">
        <v>10</v>
      </c>
      <c r="B2" s="14" t="s">
        <v>11</v>
      </c>
      <c r="C2" s="14">
        <v>25.5</v>
      </c>
      <c r="D2" s="14" t="s">
        <v>88</v>
      </c>
      <c r="E2" s="14" t="s">
        <v>109</v>
      </c>
      <c r="F2" s="14" t="s">
        <v>110</v>
      </c>
      <c r="G2" s="14" t="s">
        <v>111</v>
      </c>
      <c r="H2" s="14" t="s">
        <v>112</v>
      </c>
      <c r="I2" s="14">
        <v>81</v>
      </c>
      <c r="J2" s="14">
        <v>148</v>
      </c>
      <c r="K2" s="14">
        <v>0</v>
      </c>
      <c r="L2" s="14">
        <v>17.3</v>
      </c>
      <c r="M2" s="14">
        <v>20.7</v>
      </c>
      <c r="N2" s="14">
        <v>0</v>
      </c>
      <c r="O2" s="14" t="s">
        <v>113</v>
      </c>
    </row>
    <row r="3" spans="1:15" x14ac:dyDescent="0.45">
      <c r="A3" s="14" t="s">
        <v>13</v>
      </c>
      <c r="B3" s="14" t="s">
        <v>14</v>
      </c>
      <c r="C3" s="14">
        <v>25.5</v>
      </c>
      <c r="D3" s="14" t="s">
        <v>88</v>
      </c>
      <c r="E3" s="14" t="s">
        <v>114</v>
      </c>
      <c r="F3" s="14" t="s">
        <v>115</v>
      </c>
      <c r="G3" s="14" t="s">
        <v>116</v>
      </c>
      <c r="H3" s="14" t="s">
        <v>117</v>
      </c>
      <c r="I3" s="14">
        <v>43.2</v>
      </c>
      <c r="J3" s="14">
        <v>67.400000000000006</v>
      </c>
      <c r="K3" s="14">
        <v>4.4000000000000004</v>
      </c>
      <c r="L3" s="14">
        <v>12.9</v>
      </c>
      <c r="M3" s="14">
        <v>16.3</v>
      </c>
      <c r="N3" s="14">
        <v>0</v>
      </c>
      <c r="O3" s="14" t="s">
        <v>113</v>
      </c>
    </row>
    <row r="4" spans="1:15" x14ac:dyDescent="0.45">
      <c r="A4" s="14" t="s">
        <v>16</v>
      </c>
      <c r="B4" s="14" t="s">
        <v>17</v>
      </c>
      <c r="C4" s="14">
        <v>23.9</v>
      </c>
      <c r="D4" s="14" t="s">
        <v>88</v>
      </c>
      <c r="E4" s="14" t="s">
        <v>114</v>
      </c>
      <c r="F4" s="14" t="s">
        <v>115</v>
      </c>
      <c r="G4" s="14" t="s">
        <v>118</v>
      </c>
      <c r="H4" s="14" t="s">
        <v>119</v>
      </c>
      <c r="I4" s="14">
        <v>43.2</v>
      </c>
      <c r="J4" s="14">
        <v>93.5</v>
      </c>
      <c r="K4" s="14">
        <v>4.4000000000000004</v>
      </c>
      <c r="L4" s="14">
        <v>12.9</v>
      </c>
      <c r="M4" s="14">
        <v>16.3</v>
      </c>
      <c r="N4" s="14">
        <v>0</v>
      </c>
      <c r="O4" s="14" t="s">
        <v>113</v>
      </c>
    </row>
    <row r="5" spans="1:15" x14ac:dyDescent="0.45">
      <c r="A5" s="14" t="s">
        <v>19</v>
      </c>
      <c r="B5" s="14" t="s">
        <v>20</v>
      </c>
      <c r="C5" s="14">
        <v>23.4</v>
      </c>
      <c r="D5" s="14" t="s">
        <v>88</v>
      </c>
      <c r="E5" s="14" t="s">
        <v>114</v>
      </c>
      <c r="F5" s="14" t="s">
        <v>115</v>
      </c>
      <c r="G5" s="14" t="s">
        <v>120</v>
      </c>
      <c r="H5" s="14" t="s">
        <v>121</v>
      </c>
      <c r="I5" s="14">
        <v>43.2</v>
      </c>
      <c r="J5" s="14">
        <v>414.2</v>
      </c>
      <c r="K5" s="14">
        <v>4.4000000000000004</v>
      </c>
      <c r="L5" s="14">
        <v>12.9</v>
      </c>
      <c r="M5" s="14">
        <v>16.3</v>
      </c>
      <c r="N5" s="14">
        <v>0</v>
      </c>
      <c r="O5" s="14" t="s">
        <v>113</v>
      </c>
    </row>
    <row r="6" spans="1:15" x14ac:dyDescent="0.45">
      <c r="A6" s="14" t="s">
        <v>22</v>
      </c>
      <c r="B6" s="14" t="s">
        <v>23</v>
      </c>
      <c r="C6" s="14">
        <v>23.4</v>
      </c>
      <c r="D6" s="14" t="s">
        <v>88</v>
      </c>
      <c r="E6" s="14" t="s">
        <v>114</v>
      </c>
      <c r="F6" s="14" t="s">
        <v>115</v>
      </c>
      <c r="G6" s="14" t="s">
        <v>120</v>
      </c>
      <c r="H6" s="14" t="s">
        <v>121</v>
      </c>
      <c r="I6" s="14">
        <v>43.2</v>
      </c>
      <c r="J6" s="14">
        <v>414.2</v>
      </c>
      <c r="K6" s="14">
        <v>4.4000000000000004</v>
      </c>
      <c r="L6" s="14">
        <v>12.9</v>
      </c>
      <c r="M6" s="14">
        <v>16.3</v>
      </c>
      <c r="N6" s="14">
        <v>0</v>
      </c>
      <c r="O6" s="14" t="s">
        <v>113</v>
      </c>
    </row>
    <row r="7" spans="1:15" x14ac:dyDescent="0.45">
      <c r="A7" s="14" t="s">
        <v>25</v>
      </c>
      <c r="B7" s="14" t="s">
        <v>26</v>
      </c>
      <c r="C7" s="14">
        <v>23.2</v>
      </c>
      <c r="D7" s="14" t="s">
        <v>88</v>
      </c>
      <c r="E7" s="14" t="s">
        <v>114</v>
      </c>
      <c r="F7" s="14" t="s">
        <v>115</v>
      </c>
      <c r="G7" s="14" t="s">
        <v>120</v>
      </c>
      <c r="H7" s="14" t="s">
        <v>121</v>
      </c>
      <c r="I7" s="14">
        <v>43.2</v>
      </c>
      <c r="J7" s="14">
        <v>414.2</v>
      </c>
      <c r="K7" s="14">
        <v>4.4000000000000004</v>
      </c>
      <c r="L7" s="14">
        <v>12.9</v>
      </c>
      <c r="M7" s="14">
        <v>16.3</v>
      </c>
      <c r="N7" s="14">
        <v>0</v>
      </c>
      <c r="O7" s="14" t="s">
        <v>113</v>
      </c>
    </row>
    <row r="8" spans="1:15" x14ac:dyDescent="0.45">
      <c r="A8" s="14" t="s">
        <v>28</v>
      </c>
      <c r="B8" s="14" t="s">
        <v>29</v>
      </c>
      <c r="C8" s="14">
        <v>23.2</v>
      </c>
      <c r="D8" s="14" t="s">
        <v>122</v>
      </c>
      <c r="E8" s="14" t="s">
        <v>114</v>
      </c>
      <c r="F8" s="14" t="s">
        <v>115</v>
      </c>
      <c r="G8" s="14" t="s">
        <v>120</v>
      </c>
      <c r="H8" s="14" t="s">
        <v>121</v>
      </c>
      <c r="I8" s="14">
        <v>43.2</v>
      </c>
      <c r="J8" s="14">
        <v>414.2</v>
      </c>
      <c r="K8" s="14">
        <v>4.4000000000000004</v>
      </c>
      <c r="L8" s="14">
        <v>12.9</v>
      </c>
      <c r="M8" s="14">
        <v>16.3</v>
      </c>
      <c r="N8" s="14">
        <v>0</v>
      </c>
      <c r="O8" s="14" t="s">
        <v>113</v>
      </c>
    </row>
    <row r="9" spans="1:15" x14ac:dyDescent="0.45">
      <c r="A9" s="14" t="s">
        <v>31</v>
      </c>
      <c r="B9" s="14" t="s">
        <v>32</v>
      </c>
      <c r="C9" s="14">
        <v>23.2</v>
      </c>
      <c r="D9" s="14" t="s">
        <v>122</v>
      </c>
      <c r="E9" s="14" t="s">
        <v>123</v>
      </c>
      <c r="F9" s="14" t="s">
        <v>124</v>
      </c>
      <c r="G9" s="14" t="s">
        <v>125</v>
      </c>
      <c r="H9" s="14" t="s">
        <v>126</v>
      </c>
      <c r="I9" s="14">
        <v>37</v>
      </c>
      <c r="J9" s="14">
        <v>260</v>
      </c>
      <c r="K9" s="14">
        <v>10.3</v>
      </c>
      <c r="L9" s="14">
        <v>7</v>
      </c>
      <c r="M9" s="14">
        <v>10.4</v>
      </c>
      <c r="N9" s="14">
        <v>0</v>
      </c>
      <c r="O9" s="14" t="s">
        <v>113</v>
      </c>
    </row>
    <row r="10" spans="1:15" x14ac:dyDescent="0.45">
      <c r="A10" s="14" t="s">
        <v>34</v>
      </c>
      <c r="B10" s="14" t="s">
        <v>35</v>
      </c>
      <c r="C10" s="14">
        <v>23.2</v>
      </c>
      <c r="D10" s="14" t="s">
        <v>122</v>
      </c>
      <c r="E10" s="14" t="s">
        <v>123</v>
      </c>
      <c r="F10" s="14" t="s">
        <v>124</v>
      </c>
      <c r="G10" s="14" t="s">
        <v>125</v>
      </c>
      <c r="H10" s="14" t="s">
        <v>126</v>
      </c>
      <c r="I10" s="14">
        <v>37</v>
      </c>
      <c r="J10" s="14">
        <v>260</v>
      </c>
      <c r="K10" s="14">
        <v>10.3</v>
      </c>
      <c r="L10" s="14">
        <v>7</v>
      </c>
      <c r="M10" s="14">
        <v>10.4</v>
      </c>
      <c r="N10" s="14">
        <v>0</v>
      </c>
      <c r="O10" s="14" t="s">
        <v>113</v>
      </c>
    </row>
    <row r="11" spans="1:15" x14ac:dyDescent="0.45">
      <c r="A11" s="14" t="s">
        <v>36</v>
      </c>
      <c r="B11" s="14" t="s">
        <v>37</v>
      </c>
      <c r="C11" s="14">
        <v>23.2</v>
      </c>
      <c r="D11" s="14" t="s">
        <v>122</v>
      </c>
      <c r="E11" s="14" t="s">
        <v>123</v>
      </c>
      <c r="F11" s="14" t="s">
        <v>124</v>
      </c>
      <c r="G11" s="14" t="s">
        <v>125</v>
      </c>
      <c r="H11" s="14" t="s">
        <v>126</v>
      </c>
      <c r="I11" s="14">
        <v>37</v>
      </c>
      <c r="J11" s="14">
        <v>260</v>
      </c>
      <c r="K11" s="14">
        <v>10.3</v>
      </c>
      <c r="L11" s="14">
        <v>7</v>
      </c>
      <c r="M11" s="14">
        <v>10.4</v>
      </c>
      <c r="N11" s="14">
        <v>0</v>
      </c>
      <c r="O11" s="14" t="s">
        <v>113</v>
      </c>
    </row>
    <row r="12" spans="1:15" x14ac:dyDescent="0.45">
      <c r="A12" s="14" t="s">
        <v>38</v>
      </c>
      <c r="B12" s="14" t="s">
        <v>39</v>
      </c>
      <c r="C12" s="14">
        <v>23.2</v>
      </c>
      <c r="D12" s="14" t="s">
        <v>122</v>
      </c>
      <c r="E12" s="14" t="s">
        <v>123</v>
      </c>
      <c r="F12" s="14" t="s">
        <v>124</v>
      </c>
      <c r="G12" s="14" t="s">
        <v>127</v>
      </c>
      <c r="H12" s="14" t="s">
        <v>128</v>
      </c>
      <c r="I12" s="14">
        <v>37</v>
      </c>
      <c r="J12" s="14">
        <v>260</v>
      </c>
      <c r="K12" s="14">
        <v>10.3</v>
      </c>
      <c r="L12" s="14">
        <v>7</v>
      </c>
      <c r="M12" s="14">
        <v>10.4</v>
      </c>
      <c r="N12" s="14">
        <v>0</v>
      </c>
      <c r="O12" s="14" t="s">
        <v>129</v>
      </c>
    </row>
    <row r="13" spans="1:15" x14ac:dyDescent="0.45">
      <c r="A13" s="14" t="s">
        <v>41</v>
      </c>
      <c r="B13" s="14" t="s">
        <v>42</v>
      </c>
      <c r="C13" s="14">
        <v>23.2</v>
      </c>
      <c r="D13" s="14" t="s">
        <v>122</v>
      </c>
      <c r="E13" s="14" t="s">
        <v>123</v>
      </c>
      <c r="F13" s="14" t="s">
        <v>124</v>
      </c>
      <c r="G13" s="14" t="s">
        <v>127</v>
      </c>
      <c r="H13" s="14" t="s">
        <v>128</v>
      </c>
      <c r="I13" s="14">
        <v>37</v>
      </c>
      <c r="J13" s="14">
        <v>260</v>
      </c>
      <c r="K13" s="14">
        <v>10.3</v>
      </c>
      <c r="L13" s="14">
        <v>7</v>
      </c>
      <c r="M13" s="14">
        <v>10.4</v>
      </c>
      <c r="N13" s="14">
        <v>0</v>
      </c>
      <c r="O13" s="14" t="s">
        <v>129</v>
      </c>
    </row>
    <row r="14" spans="1:15" x14ac:dyDescent="0.45">
      <c r="A14" s="14" t="s">
        <v>43</v>
      </c>
      <c r="B14" s="14" t="s">
        <v>44</v>
      </c>
      <c r="C14" s="14">
        <v>23.2</v>
      </c>
      <c r="D14" s="14" t="s">
        <v>122</v>
      </c>
      <c r="E14" s="14" t="s">
        <v>123</v>
      </c>
      <c r="F14" s="14" t="s">
        <v>124</v>
      </c>
      <c r="G14" s="14" t="s">
        <v>127</v>
      </c>
      <c r="H14" s="14" t="s">
        <v>128</v>
      </c>
      <c r="I14" s="14">
        <v>37</v>
      </c>
      <c r="J14" s="14">
        <v>260</v>
      </c>
      <c r="K14" s="14">
        <v>10.3</v>
      </c>
      <c r="L14" s="14">
        <v>7</v>
      </c>
      <c r="M14" s="14">
        <v>10.4</v>
      </c>
      <c r="N14" s="14">
        <v>0</v>
      </c>
      <c r="O14" s="14" t="s">
        <v>129</v>
      </c>
    </row>
    <row r="15" spans="1:15" x14ac:dyDescent="0.45">
      <c r="A15" s="14" t="s">
        <v>46</v>
      </c>
      <c r="B15" s="14" t="s">
        <v>47</v>
      </c>
      <c r="C15" s="14">
        <v>23.2</v>
      </c>
      <c r="D15" s="14" t="s">
        <v>130</v>
      </c>
      <c r="E15" s="14" t="s">
        <v>123</v>
      </c>
      <c r="F15" s="14" t="s">
        <v>124</v>
      </c>
      <c r="G15" s="14" t="s">
        <v>127</v>
      </c>
      <c r="H15" s="14" t="s">
        <v>128</v>
      </c>
      <c r="I15" s="14">
        <v>37</v>
      </c>
      <c r="J15" s="14">
        <v>260</v>
      </c>
      <c r="K15" s="14">
        <v>10.3</v>
      </c>
      <c r="L15" s="14">
        <v>7</v>
      </c>
      <c r="M15" s="14">
        <v>10.4</v>
      </c>
      <c r="N15" s="14">
        <v>0</v>
      </c>
      <c r="O15" s="14" t="s">
        <v>129</v>
      </c>
    </row>
    <row r="16" spans="1:15" x14ac:dyDescent="0.45">
      <c r="A16" s="14" t="s">
        <v>49</v>
      </c>
      <c r="B16" s="14" t="s">
        <v>50</v>
      </c>
      <c r="C16" s="14">
        <v>23.2</v>
      </c>
      <c r="D16" s="14" t="s">
        <v>130</v>
      </c>
      <c r="E16" s="14" t="s">
        <v>123</v>
      </c>
      <c r="F16" s="14" t="s">
        <v>124</v>
      </c>
      <c r="G16" s="14" t="s">
        <v>127</v>
      </c>
      <c r="H16" s="14" t="s">
        <v>128</v>
      </c>
      <c r="I16" s="14">
        <v>37</v>
      </c>
      <c r="J16" s="14">
        <v>260</v>
      </c>
      <c r="K16" s="14">
        <v>10.3</v>
      </c>
      <c r="L16" s="14">
        <v>7</v>
      </c>
      <c r="M16" s="14">
        <v>10.4</v>
      </c>
      <c r="N16" s="14">
        <v>4</v>
      </c>
      <c r="O16" s="14" t="s">
        <v>129</v>
      </c>
    </row>
    <row r="18" spans="1:1" x14ac:dyDescent="0.45">
      <c r="A18" s="16" t="s">
        <v>131</v>
      </c>
    </row>
    <row r="20" spans="1:1" x14ac:dyDescent="0.45">
      <c r="A20" s="17" t="s">
        <v>132</v>
      </c>
    </row>
    <row r="21" spans="1:1" x14ac:dyDescent="0.45">
      <c r="A21" s="16" t="s">
        <v>133</v>
      </c>
    </row>
    <row r="22" spans="1:1" x14ac:dyDescent="0.45">
      <c r="A22" s="16" t="s">
        <v>134</v>
      </c>
    </row>
    <row r="23" spans="1:1" x14ac:dyDescent="0.45">
      <c r="A23" s="16" t="s">
        <v>135</v>
      </c>
    </row>
    <row r="24" spans="1:1" x14ac:dyDescent="0.45">
      <c r="A24" s="16" t="s">
        <v>136</v>
      </c>
    </row>
    <row r="25" spans="1:1" x14ac:dyDescent="0.45">
      <c r="A25" s="16" t="s">
        <v>137</v>
      </c>
    </row>
    <row r="26" spans="1:1" x14ac:dyDescent="0.45">
      <c r="A26" s="16" t="s">
        <v>138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5"/>
  <sheetViews>
    <sheetView zoomScaleNormal="100" workbookViewId="0">
      <selection activeCell="A4" sqref="A4"/>
    </sheetView>
  </sheetViews>
  <sheetFormatPr defaultColWidth="8.6640625" defaultRowHeight="14.25" x14ac:dyDescent="0.45"/>
  <cols>
    <col min="1" max="1" width="135" style="12" customWidth="1"/>
    <col min="2" max="16384" width="8.6640625" style="12"/>
  </cols>
  <sheetData>
    <row r="1" spans="1:1" x14ac:dyDescent="0.45">
      <c r="A1" s="15" t="s">
        <v>139</v>
      </c>
    </row>
    <row r="3" spans="1:1" x14ac:dyDescent="0.45">
      <c r="A3" s="15" t="s">
        <v>140</v>
      </c>
    </row>
    <row r="4" spans="1:1" ht="60" customHeight="1" x14ac:dyDescent="0.45">
      <c r="A4" s="18" t="s">
        <v>141</v>
      </c>
    </row>
    <row r="6" spans="1:1" x14ac:dyDescent="0.45">
      <c r="A6" s="15" t="s">
        <v>142</v>
      </c>
    </row>
    <row r="7" spans="1:1" ht="45" customHeight="1" x14ac:dyDescent="0.45">
      <c r="A7" s="18" t="s">
        <v>143</v>
      </c>
    </row>
    <row r="9" spans="1:1" x14ac:dyDescent="0.45">
      <c r="A9" s="15" t="s">
        <v>144</v>
      </c>
    </row>
    <row r="10" spans="1:1" ht="90" customHeight="1" x14ac:dyDescent="0.45">
      <c r="A10" s="18" t="s">
        <v>145</v>
      </c>
    </row>
    <row r="12" spans="1:1" x14ac:dyDescent="0.45">
      <c r="A12" s="15" t="s">
        <v>146</v>
      </c>
    </row>
    <row r="13" spans="1:1" ht="105" customHeight="1" x14ac:dyDescent="0.45">
      <c r="A13" s="18" t="s">
        <v>147</v>
      </c>
    </row>
    <row r="15" spans="1:1" x14ac:dyDescent="0.45">
      <c r="A15" s="15" t="s">
        <v>148</v>
      </c>
    </row>
    <row r="16" spans="1:1" ht="45" customHeight="1" x14ac:dyDescent="0.45">
      <c r="A16" s="18" t="s">
        <v>149</v>
      </c>
    </row>
    <row r="18" spans="1:1" x14ac:dyDescent="0.45">
      <c r="A18" s="15" t="s">
        <v>150</v>
      </c>
    </row>
    <row r="19" spans="1:1" ht="90" customHeight="1" x14ac:dyDescent="0.45">
      <c r="A19" s="18" t="s">
        <v>151</v>
      </c>
    </row>
    <row r="21" spans="1:1" x14ac:dyDescent="0.45">
      <c r="A21" s="15" t="s">
        <v>152</v>
      </c>
    </row>
    <row r="22" spans="1:1" ht="45" customHeight="1" x14ac:dyDescent="0.45">
      <c r="A22" s="18" t="s">
        <v>153</v>
      </c>
    </row>
    <row r="24" spans="1:1" x14ac:dyDescent="0.45">
      <c r="A24" s="15" t="s">
        <v>154</v>
      </c>
    </row>
    <row r="25" spans="1:1" ht="75" customHeight="1" x14ac:dyDescent="0.45">
      <c r="A25" s="18" t="s">
        <v>155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Counts</vt:lpstr>
      <vt:lpstr>Grid</vt:lpstr>
      <vt:lpstr>Parameters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Alexander Mengden</cp:lastModifiedBy>
  <cp:revision>0</cp:revision>
  <dcterms:created xsi:type="dcterms:W3CDTF">2026-08-13T12:06:44Z</dcterms:created>
  <dcterms:modified xsi:type="dcterms:W3CDTF">2026-08-13T12:19:34Z</dcterms:modified>
  <dc:language>en-US</dc:language>
</cp:coreProperties>
</file>
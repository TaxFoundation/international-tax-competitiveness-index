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unts" sheetId="1" state="visible" r:id="rId3"/>
    <sheet name="corporate_minimum notes" sheetId="2" state="visible" r:id="rId4"/>
    <sheet name="Grid" sheetId="3" state="visible" r:id="rId5"/>
    <sheet name="Parameters" sheetId="4" state="visible" r:id="rId6"/>
    <sheet name="Not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<sst xmlns="http://schemas.openxmlformats.org/spreadsheetml/2006/main" count="2033" uniqueCount="216">
  <si>
    <t xml:space="preserve">Japan: number of applicable corporate income tax rates, fiscal years beginning 2014-2026</t>
  </si>
  <si>
    <t xml:space="preserve">Tokyo 23 wards, ordinary corporations (class 1 business), enterprise tax income base only. Input for the ITCI corporate_alt_minimum variable.</t>
  </si>
  <si>
    <t xml:space="preserve">Regime</t>
  </si>
  <si>
    <t xml:space="preserve">Fiscal years beginning</t>
  </si>
  <si>
    <t xml:space="preserve">A: rates in the PwC rate table</t>
  </si>
  <si>
    <t xml:space="preserve">B: full statutory schedule</t>
  </si>
  <si>
    <t xml:space="preserve">of which: core (= A)</t>
  </si>
  <si>
    <t xml:space="preserve">of which: added by the multi-prefecture rule</t>
  </si>
  <si>
    <t xml:space="preserve">of which: added by the 19% excluded-enterprise band</t>
  </si>
  <si>
    <t xml:space="preserve">Change in A vs previous regime</t>
  </si>
  <si>
    <t xml:space="preserve">2014a</t>
  </si>
  <si>
    <t xml:space="preserve">FY beg. 1 Apr 2014 - 30 Sep 2014</t>
  </si>
  <si>
    <t xml:space="preserve">baseline</t>
  </si>
  <si>
    <t xml:space="preserve">2014b</t>
  </si>
  <si>
    <t xml:space="preserve">FY beg. 1 Oct 2014 - 31 Mar 2015</t>
  </si>
  <si>
    <t xml:space="preserve">no change (about one third of the special local corporate tax returned to enterprise tax rates)</t>
  </si>
  <si>
    <t xml:space="preserve">2015</t>
  </si>
  <si>
    <t xml:space="preserve">FY beg. 1 Apr 2015 - 31 Mar 2016</t>
  </si>
  <si>
    <t xml:space="preserve">no change (national rate 25.5 -&gt; 23.9; size-based taxation expanded)</t>
  </si>
  <si>
    <t xml:space="preserve">2016</t>
  </si>
  <si>
    <t xml:space="preserve">FY beg. 1 Apr 2016 - 31 Mar 2017</t>
  </si>
  <si>
    <t xml:space="preserve">no change (national rate 23.9 -&gt; 23.4; size-based expansion phase 2)</t>
  </si>
  <si>
    <t xml:space="preserve">2017</t>
  </si>
  <si>
    <t xml:space="preserve">FY beg. 1 Apr 2017 - 31 Mar 2018</t>
  </si>
  <si>
    <t xml:space="preserve">no change</t>
  </si>
  <si>
    <t xml:space="preserve">2018</t>
  </si>
  <si>
    <t xml:space="preserve">FY beg. 1 Apr 2018 - 31 Mar 2019</t>
  </si>
  <si>
    <t xml:space="preserve">no change (national rate 23.4 -&gt; 23.2)</t>
  </si>
  <si>
    <t xml:space="preserve">2019a</t>
  </si>
  <si>
    <t xml:space="preserve">FY beg. 1 Apr 2019 - 30 Sep 2019</t>
  </si>
  <si>
    <t xml:space="preserve">no change in A. B rises 11 -&gt; 14: the 19% statutory rate revives for excluded enterprises</t>
  </si>
  <si>
    <t xml:space="preserve">2019b</t>
  </si>
  <si>
    <t xml:space="preserve">FY beg. 1 Oct 2019 - 31 Mar 2020</t>
  </si>
  <si>
    <t xml:space="preserve">no change (special local corporate tax replaced by the special corporate business tax; local corporate tax 4.4 -&gt; 10.3)</t>
  </si>
  <si>
    <t xml:space="preserve">2020</t>
  </si>
  <si>
    <t xml:space="preserve">FY beg. 1 Apr 2020 - 31 Mar 2021</t>
  </si>
  <si>
    <t xml:space="preserve">2021</t>
  </si>
  <si>
    <t xml:space="preserve">FY beg. 1 Apr 2021 - 31 Mar 2022</t>
  </si>
  <si>
    <t xml:space="preserve">2022</t>
  </si>
  <si>
    <t xml:space="preserve">FY beg. 1 Apr 2022 - 31 Mar 2023</t>
  </si>
  <si>
    <t xml:space="preserve">9 -&gt; 7: graduated income-base enterprise rates withdrawn for size-based taxpayers (FY2022 reform)</t>
  </si>
  <si>
    <t xml:space="preserve">2023</t>
  </si>
  <si>
    <t xml:space="preserve">FY beg. 1 Apr 2023 - 31 Mar 2024</t>
  </si>
  <si>
    <t xml:space="preserve">2024</t>
  </si>
  <si>
    <t xml:space="preserve">FY beg. 1 Apr 2024 - 31 Mar 2025</t>
  </si>
  <si>
    <t xml:space="preserve">no change (size-based taxation scope widened, but no new rate)</t>
  </si>
  <si>
    <t xml:space="preserve">2025</t>
  </si>
  <si>
    <t xml:space="preserve">FY beg. 1 Apr 2025 - 31 Mar 2026</t>
  </si>
  <si>
    <t xml:space="preserve">7 -&gt; 9: new 17% band on the first JPY 8m where income exceeds JPY 1bn (2025 Tax Reform Act)</t>
  </si>
  <si>
    <t xml:space="preserve">2026</t>
  </si>
  <si>
    <t xml:space="preserve">FY beg. on/after 1 Apr 2026</t>
  </si>
  <si>
    <t xml:space="preserve">no change (4% defence surtax applies to all cells proportionally)</t>
  </si>
  <si>
    <t xml:space="preserve">Check: columns E+F+G equal column D</t>
  </si>
  <si>
    <t xml:space="preserve">The counts above enumerate the full Tokyo rate schedule. For the ITCI variable itself see the corporate_minimum notes sheet: the existing file counts national CIT brackets and rate instruments only, giving 1 / 2 / 3 / 4 rather than 9 or 15.</t>
  </si>
  <si>
    <t xml:space="preserve">Japan: proposed corporate_minimum recode on the unique-combined-rates basis, for source_data/Tax Complexity Variable Notes.xlsx</t>
  </si>
  <si>
    <t xml:space="preserve">ITCI convention: score = (number of distinct rates - 1) + instruments at face value, so a single rate scores 0 (Germany 0, Belgium 1 for two rates, Korea 4 for four brackets plus a minimum tax). Rates here are the distinct combined national + Tokyo statutory rates a corporation can face (Convention A), matching the file’s treatment of Portugal (regional rates + derrama estadual brackets + QDMTT), not Germany (trade tax ignored). The instrument +1 is keyed to the QDMTT (domestic minimum top-up tax), which for Japan begins in FY2026; the IIR (FY2024) is an outbound measure and is not counted.</t>
  </si>
  <si>
    <t xml:space="preserve">ISO_2</t>
  </si>
  <si>
    <t xml:space="preserve">ISO_3</t>
  </si>
  <si>
    <t xml:space="preserve">country</t>
  </si>
  <si>
    <t xml:space="preserve">year</t>
  </si>
  <si>
    <t xml:space="preserve">corporate_minimum description (includes alternative minimums, progressive rate structures)</t>
  </si>
  <si>
    <t xml:space="preserve">corporate_minimum</t>
  </si>
  <si>
    <t xml:space="preserve">Governing fiscal year</t>
  </si>
  <si>
    <t xml:space="preserve">Distinct combined rates</t>
  </si>
  <si>
    <t xml:space="preserve">Rates minus one</t>
  </si>
  <si>
    <t xml:space="preserve">QDMTT instrument</t>
  </si>
  <si>
    <t xml:space="preserve">National-rate basis (old, reference)</t>
  </si>
  <si>
    <t xml:space="preserve">Current value in repository</t>
  </si>
  <si>
    <t xml:space="preserve">Revision</t>
  </si>
  <si>
    <t xml:space="preserve">JP</t>
  </si>
  <si>
    <t xml:space="preserve">JPN</t>
  </si>
  <si>
    <t xml:space="preserve">Japan</t>
  </si>
  <si>
    <t xml:space="preserve">National rates 25.5% (general) and 15% (first JPY 8m, capital &lt;= JPY 100m). Distinct combined rates = 9: capital &lt;= JPY 100m at the standard enterprise rate across the three income brackets (&lt;= 4m / 4-8m / &gt; 8m) = 3; the same three brackets at the Tokyo super rate (income &gt; 25m or revenue &gt; 200m) = 3; capital &gt; JPY 100m at the graduated enterprise income base across three brackets = 3. Score = 9 - 1 = 8.</t>
  </si>
  <si>
    <t xml:space="preserve">FY beginning 1 Apr 2014</t>
  </si>
  <si>
    <t xml:space="preserve">1 -&gt; 8</t>
  </si>
  <si>
    <t xml:space="preserve">General rate cut 25.5 -&gt; 23.9 for fiscal years beginning on/after 1 Apr 2015; 15% band unchanged. Distinct combined rates = 9: capital &lt;= JPY 100m at the standard enterprise rate across the three income brackets (&lt;= 4m / 4-8m / &gt; 8m) = 3; the same three brackets at the Tokyo super rate (income &gt; 25m or revenue &gt; 200m) = 3; capital &gt; JPY 100m at the graduated enterprise income base across three brackets = 3. Score = 9 - 1 = 8.</t>
  </si>
  <si>
    <t xml:space="preserve">FY beginning 1 Apr 2015</t>
  </si>
  <si>
    <t xml:space="preserve">General rate cut 23.9 -&gt; 23.4; 15% band unchanged. Distinct combined rates = 9: capital &lt;= JPY 100m at the standard enterprise rate across the three income brackets (&lt;= 4m / 4-8m / &gt; 8m) = 3; the same three brackets at the Tokyo super rate (income &gt; 25m or revenue &gt; 200m) = 3; capital &gt; JPY 100m at the graduated enterprise income base across three brackets = 3. Score = 9 - 1 = 8.</t>
  </si>
  <si>
    <t xml:space="preserve">FY beginning 1 Apr 2016</t>
  </si>
  <si>
    <t xml:space="preserve">No rate change. Distinct combined rates = 9: capital &lt;= JPY 100m at the standard enterprise rate across the three income brackets (&lt;= 4m / 4-8m / &gt; 8m) = 3; the same three brackets at the Tokyo super rate (income &gt; 25m or revenue &gt; 200m) = 3; capital &gt; JPY 100m at the graduated enterprise income base across three brackets = 3. Score = 9 - 1 = 8.</t>
  </si>
  <si>
    <t xml:space="preserve">FY beginning 1 Apr 2017</t>
  </si>
  <si>
    <t xml:space="preserve">General rate cut 23.4 -&gt; 23.2; 15% band unchanged. Distinct combined rates = 9: capital &lt;= JPY 100m at the standard enterprise rate across the three income brackets (&lt;= 4m / 4-8m / &gt; 8m) = 3; the same three brackets at the Tokyo super rate (income &gt; 25m or revenue &gt; 200m) = 3; capital &gt; JPY 100m at the graduated enterprise income base across three brackets = 3. Score = 9 - 1 = 8.</t>
  </si>
  <si>
    <t xml:space="preserve">FY beginning 1 Apr 2018</t>
  </si>
  <si>
    <t xml:space="preserve">No change to the nine rates counted. Note: the 19% excluded-enterprise band (Act on Special Measures art. 42-4(19)(viii), from FY beginning 1 Apr 2019) and the multi-prefecture disapplication would add 5 further combined rates (14, score 13) if the footnoted classifiers are included; excluded here for consistency with Convention A. Distinct combined rates = 9: capital &lt;= JPY 100m at the standard enterprise rate across the three income brackets (&lt;= 4m / 4-8m / &gt; 8m) = 3; the same three brackets at the Tokyo super rate (income &gt; 25m or revenue &gt; 200m) = 3; capital &gt; JPY 100m at the graduated enterprise income base across three brackets = 3. Score = 9 - 1 = 8.</t>
  </si>
  <si>
    <t xml:space="preserve">FY beginning 1 Apr 2019</t>
  </si>
  <si>
    <t xml:space="preserve">No change. 15% band extended to FY beginning before 1 Apr 2021. Distinct combined rates = 9: capital &lt;= JPY 100m at the standard enterprise rate across the three income brackets (&lt;= 4m / 4-8m / &gt; 8m) = 3; the same three brackets at the Tokyo super rate (income &gt; 25m or revenue &gt; 200m) = 3; capital &gt; JPY 100m at the graduated enterprise income base across three brackets = 3. Score = 9 - 1 = 8.</t>
  </si>
  <si>
    <t xml:space="preserve">FY beginning 1 Apr 2020</t>
  </si>
  <si>
    <t xml:space="preserve">No change. 15% band extended to FY beginning before 1 Apr 2023. Distinct combined rates = 9: capital &lt;= JPY 100m at the standard enterprise rate across the three income brackets (&lt;= 4m / 4-8m / &gt; 8m) = 3; the same three brackets at the Tokyo super rate (income &gt; 25m or revenue &gt; 200m) = 3; capital &gt; JPY 100m at the graduated enterprise income base across three brackets = 3. Score = 9 - 1 = 8.</t>
  </si>
  <si>
    <t xml:space="preserve">FY beginning 1 Apr 2021</t>
  </si>
  <si>
    <t xml:space="preserve">The FY2022 reform withdrew the graduated income-base enterprise rates for size-based taxpayers, collapsing the three capital &gt; JPY 100m cells to one. Distinct combined rates = 7: capital &lt;= JPY 100m at the standard rate (3 brackets) and the super rate (3 brackets) = 6; capital &gt; JPY 100m at a single flat income-base rate = 1 (graduated brackets withdrawn for size-based taxpayers, FY2022 reform, Local Tax Act art. 72-24-7). Score = 7 - 1 = 6.</t>
  </si>
  <si>
    <t xml:space="preserve">FY beginning 1 Apr 2022</t>
  </si>
  <si>
    <t xml:space="preserve">1 -&gt; 6</t>
  </si>
  <si>
    <t xml:space="preserve">No change. 15% band extended to FY beginning before 1 Apr 2025. Distinct combined rates = 7: capital &lt;= JPY 100m at the standard rate (3 brackets) and the super rate (3 brackets) = 6; capital &gt; JPY 100m at a single flat income-base rate = 1 (graduated brackets withdrawn for size-based taxpayers, FY2022 reform, Local Tax Act art. 72-24-7). Score = 7 - 1 = 6.</t>
  </si>
  <si>
    <t xml:space="preserve">FY beginning 1 Apr 2023</t>
  </si>
  <si>
    <t xml:space="preserve">Seven combined rates as in 2022-2023. The Pillar Two income inclusion rule (IIR) takes effect for fiscal years beginning on/after 1 Apr 2024 but is not counted: it is an outbound top-up on low-taxed foreign income and adds no rate on domestic profits. Consistent with the repository, which did not raise Japan in 2024 for the IIR. Distinct combined rates = 7: capital &lt;= JPY 100m at the standard rate (3 brackets) and the super rate (3 brackets) = 6; capital &gt; JPY 100m at a single flat income-base rate = 1 (graduated brackets withdrawn for size-based taxpayers, FY2022 reform, Local Tax Act art. 72-24-7). Score = 7 - 1 = 6.</t>
  </si>
  <si>
    <t xml:space="preserve">FY beginning 1 Apr 2024</t>
  </si>
  <si>
    <t xml:space="preserve">2 -&gt; 6</t>
  </si>
  <si>
    <t xml:space="preserve">The 2025 Tax Reform Act extended the 15% band to FY beginning before 1 Apr 2027 and added a 17% band for income above JPY 1bn, restoring the count to nine. No domestic minimum tax yet. Distinct combined rates = 9: capital &lt;= JPY 100m at the standard rate (3 brackets) = 3 and the super rate (3 brackets) = 3; the 17% band for income &gt; JPY 1bn on the first two brackets = 2; capital &gt; JPY 100m flat = 1. Score = 9 - 1 = 8.</t>
  </si>
  <si>
    <t xml:space="preserve">FY beginning 1 Apr 2025</t>
  </si>
  <si>
    <t xml:space="preserve">Nine combined rates. The qualified domestic minimum top-up tax (QDMTT) takes effect for fiscal years beginning on/after 1 Apr 2026 and is counted as one instrument at face value, matching the file's +1 for QDMTT elsewhere; it is a domestic minimum top-up tax on domestic profits. The UTPR also begins but, like the IIR, is outbound and adds no domestic rate. Distinct combined rates = 9: capital &lt;= JPY 100m at the standard rate (3 brackets) = 3 and the super rate (3 brackets) = 3; the 17% band for income &gt; JPY 1bn on the first two brackets = 2; capital &gt; JPY 100m flat = 1. Score = 9 - 1 = 8. Plus 1 for the QDMTT = 9. The 4% special defence corporate surtax (JPY 5m basic deduction) also begins this year and belongs in corporate_surtax.</t>
  </si>
  <si>
    <t xml:space="preserve">FY beginning 1 Apr 2026</t>
  </si>
  <si>
    <t xml:space="preserve">new year</t>
  </si>
  <si>
    <t xml:space="preserve">Method and cross-country consistency</t>
  </si>
  <si>
    <t xml:space="preserve">Formula, per year: score = (distinct combined statutory rates at the representative location, Tokyo 23 wards, income base) - 1 + QDMTT instrument. The -1 encodes the ITCI rule that a single rate is no complexity. Each year note enumerates the rates so the number can be reproduced from the Grid and Parameters sheets.</t>
  </si>
  <si>
    <t xml:space="preserve">IIR vs QDMTT. Japan's Pillar Two arrives in two stages: the income inclusion rule from FY2024 and the UTPR and QDMTT from FY2026. Only the QDMTT is counted, because it is a domestic minimum top-up tax that adds a rate on domestic profits; the IIR and UTPR are outbound top-ups on foreign income. This matches the repository, which labels every country's Pillar Two addition 'QDMTT' and did not raise Japan in 2024 for the IIR.</t>
  </si>
  <si>
    <t xml:space="preserve">Revealed convention in the file is inconsistent, which is why the recode is warranted. Portugal is counted on its full combined schedule (mainland vs Azores vs Madeira rates plus the derrama estadual surtax brackets), scoring 4-6. Germany is counted on the national rate alone and scores 0 before the QDMTT, ignoring the Gewerbesteuer. Japan on national brackets only is coded like Germany but is structurally a Portugal case.</t>
  </si>
  <si>
    <t xml:space="preserve">Germany is the resulting outlier, not Japan. At a representative Hebesatz the trade tax is flat, so a consistent recode moves Germany from 0 to 1, not more. Separate cross-country pass; does not block the Japan fix.</t>
  </si>
  <si>
    <t xml:space="preserve">Korea does not leapfrog. Its local income tax mirrors the four national brackets (thresholds coincide), so on the same basis Korea stays near 4. Japan reaches 8 because the enterprise-tax thresholds (JPY 4m / 8m) differ from the national JPY 8m step and add the super-rate and capital-size triggers.</t>
  </si>
  <si>
    <t xml:space="preserve">Z-score check. The recode makes Japan the maximum on the variable, above Portugal. On a low-variance complexity variable a lone maximum can distort the subcategory z-score; inspect before publication.</t>
  </si>
  <si>
    <t xml:space="preserve">Options left out of the score column. (i) Size-based enterprise tax (value-added and capital bases) as an alternative minimum tax: +1, or +2 if the two bases are separate, on the Italy/IRAP precedent. (ii) Footnoted rate classifiers (19% excluded-enterprise band and multi-prefecture disapplication): the 9 becomes 14 in 2019-2021 and 2025-2026, so the score becomes 13. Both turn on the same unresolved Italy/Germany question.</t>
  </si>
  <si>
    <t xml:space="preserve">Year mapping. The legacy Japan rows quote EY guides one vintage behind the stated year, so the series may lag one year in practice despite being documented as no-lag. If a one-year lag is applied, shift each score down one row.</t>
  </si>
  <si>
    <t xml:space="preserve">Scope</t>
  </si>
  <si>
    <t xml:space="preserve">Classifier group</t>
  </si>
  <si>
    <t xml:space="preserve">Paid-in capital</t>
  </si>
  <si>
    <t xml:space="preserve">Income bracket (enterprise tax)</t>
  </si>
  <si>
    <t xml:space="preserve">Enterprise rate applied</t>
  </si>
  <si>
    <t xml:space="preserve">National rate variant</t>
  </si>
  <si>
    <t xml:space="preserve">National CIT rate (%)</t>
  </si>
  <si>
    <t xml:space="preserve">Enterprise tax, income base (%)</t>
  </si>
  <si>
    <t xml:space="preserve">Standard income-base rate (base of SBT) (%)</t>
  </si>
  <si>
    <t xml:space="preserve">Special local corp. tax / special corp. business tax (% of income base)</t>
  </si>
  <si>
    <t xml:space="preserve">Local corporate tax (% of CIT)</t>
  </si>
  <si>
    <t xml:space="preserve">Inhabitants' tax, super (% of CIT)</t>
  </si>
  <si>
    <t xml:space="preserve">Defence surtax (% of CIT)</t>
  </si>
  <si>
    <t xml:space="preserve">Combined marginal statutory rate (%)</t>
  </si>
  <si>
    <t xml:space="preserve">Effective statutory rate (%)</t>
  </si>
  <si>
    <t xml:space="preserve">New rate under A</t>
  </si>
  <si>
    <t xml:space="preserve">New rate under B</t>
  </si>
  <si>
    <t xml:space="preserve">Note</t>
  </si>
  <si>
    <t xml:space="preserve">A</t>
  </si>
  <si>
    <t xml:space="preserve">core (Convention A)</t>
  </si>
  <si>
    <t xml:space="preserve">&lt;= JPY 100m</t>
  </si>
  <si>
    <t xml:space="preserve">&lt;= JPY 4m</t>
  </si>
  <si>
    <t xml:space="preserve">standard</t>
  </si>
  <si>
    <t xml:space="preserve">15 (Sp.Meas. 42-3-2)</t>
  </si>
  <si>
    <t xml:space="preserve">graduated brackets, standard enterprise rate (income &lt;= JPY 25m and revenue &lt;= JPY 200m)</t>
  </si>
  <si>
    <t xml:space="preserve">Tokyo super</t>
  </si>
  <si>
    <t xml:space="preserve">graduated brackets, Tokyo super rate (income &gt; JPY 25m or revenue &gt; JPY 200m)</t>
  </si>
  <si>
    <t xml:space="preserve">JPY 4-8m</t>
  </si>
  <si>
    <t xml:space="preserve">&gt; JPY 8m</t>
  </si>
  <si>
    <t xml:space="preserve">general</t>
  </si>
  <si>
    <t xml:space="preserve">&gt; JPY 100m</t>
  </si>
  <si>
    <t xml:space="preserve">size-based taxpayer, graduated income base</t>
  </si>
  <si>
    <t xml:space="preserve">B</t>
  </si>
  <si>
    <t xml:space="preserve">multi-prefecture</t>
  </si>
  <si>
    <t xml:space="preserve">first JPY 8m, no graduation</t>
  </si>
  <si>
    <t xml:space="preserve">15</t>
  </si>
  <si>
    <t xml:space="preserve">capital &gt;= JPY 10m and offices in 3+ prefectures: graduated enterprise brackets disapplied, so the top rate applies to the first JPY 8m as well (Local Tax Act art. 72-24-7)</t>
  </si>
  <si>
    <t xml:space="preserve">excluded enterprise (19%)</t>
  </si>
  <si>
    <t xml:space="preserve">19</t>
  </si>
  <si>
    <t xml:space="preserve">capital &gt;= JPY 10m and offices in 3+ prefectures: graduated enterprise brackets disapplied, so the top rate applies to the first JPY 8m as well (Local Tax Act art. 72-24-7) AND excluded enterprise: this cell requires both classifiers</t>
  </si>
  <si>
    <t xml:space="preserve">excluded enterprise (3-yr average income &gt; JPY 1.5bn): statutory 19% under Corp. Tax Act art. 66(2)</t>
  </si>
  <si>
    <t xml:space="preserve">all income</t>
  </si>
  <si>
    <t xml:space="preserve">size-based taxpayer, flat income base (graduated rates withdrawn for FY beginning on/after 1 Apr 2022)</t>
  </si>
  <si>
    <t xml:space="preserve">17</t>
  </si>
  <si>
    <t xml:space="preserve">income &gt; JPY 1bn: first JPY 8m at 17% (2025 Tax Reform Act); super rate necessarily applies</t>
  </si>
  <si>
    <t xml:space="preserve">National CIT rate, general (%)</t>
  </si>
  <si>
    <t xml:space="preserve">Rates available on the first JPY 8m (%)</t>
  </si>
  <si>
    <t xml:space="preserve">Enterprise tax income base, capital &lt;= JPY 100m: standard (%)</t>
  </si>
  <si>
    <t xml:space="preserve">... Tokyo super (%)</t>
  </si>
  <si>
    <t xml:space="preserve">Enterprise tax income base, capital &gt; JPY 100m: standard (%)</t>
  </si>
  <si>
    <t xml:space="preserve">Special local corp. tax / special corp. business tax, non-size-based (%)</t>
  </si>
  <si>
    <t xml:space="preserve">... size-based (%)</t>
  </si>
  <si>
    <t xml:space="preserve">Inhabitants' tax, 23 wards: standard (%)</t>
  </si>
  <si>
    <t xml:space="preserve">... super (%)</t>
  </si>
  <si>
    <t xml:space="preserve">Special defence corporate surtax (% of CIT)</t>
  </si>
  <si>
    <t xml:space="preserve">Graduated income base for size-based taxpayers?</t>
  </si>
  <si>
    <t xml:space="preserve">2.7 / 4 / 5.3</t>
  </si>
  <si>
    <t xml:space="preserve">2.95 / 4.365 / 5.78</t>
  </si>
  <si>
    <t xml:space="preserve">1.5 / 2.2 / 2.9</t>
  </si>
  <si>
    <t xml:space="preserve">1.69 / 2.475 / 3.26</t>
  </si>
  <si>
    <t xml:space="preserve">yes</t>
  </si>
  <si>
    <t xml:space="preserve">3.4 / 5.1 / 6.7</t>
  </si>
  <si>
    <t xml:space="preserve">3.65 / 5.465 / 7.18</t>
  </si>
  <si>
    <t xml:space="preserve">2.2 / 3.2 / 4.3</t>
  </si>
  <si>
    <t xml:space="preserve">2.39 / 3.475 / 4.66</t>
  </si>
  <si>
    <t xml:space="preserve">1.6 / 2.3 / 3.1</t>
  </si>
  <si>
    <t xml:space="preserve">1.755 / 2.53 / 3.4</t>
  </si>
  <si>
    <t xml:space="preserve">0.3 / 0.5 / 0.7</t>
  </si>
  <si>
    <t xml:space="preserve">0.395 / 0.635 / 0.88</t>
  </si>
  <si>
    <t xml:space="preserve">15 / 19</t>
  </si>
  <si>
    <t xml:space="preserve">3.5 / 5.3 / 7</t>
  </si>
  <si>
    <t xml:space="preserve">3.75 / 5.665 / 7.48</t>
  </si>
  <si>
    <t xml:space="preserve">0.4 / 0.7 / 1</t>
  </si>
  <si>
    <t xml:space="preserve">0.495 / 0.835 / 1.18</t>
  </si>
  <si>
    <t xml:space="preserve">1</t>
  </si>
  <si>
    <t xml:space="preserve">1.18</t>
  </si>
  <si>
    <t xml:space="preserve">no</t>
  </si>
  <si>
    <t xml:space="preserve">15 / 17 / 19</t>
  </si>
  <si>
    <t xml:space="preserve">Only the super column of inhabitants' tax feeds the Grid, following the PwC presentation. The standard rate is shown for reference; it applies where capital &lt;= JPY 100m and corporate tax &lt;= JPY 10m.</t>
  </si>
  <si>
    <t xml:space="preserve">Sources</t>
  </si>
  <si>
    <t xml:space="preserve">National rates 25.5 / 23.9 / 23.4 / 23.2 and the SME special rate (15%, raised to 17% where income &gt; JPY 1bn from FY2025): Corporation Tax Act art. 66(1)-(2); Act on Special Measures Concerning Taxation art. 42-3-2(1); MOF, Hojinzei no zeiritsu no suii, https://www.mof.go.jp/tax_policy/summary/corporation/082.pdf</t>
  </si>
  <si>
    <t xml:space="preserve">Excluded enterprise (tekiyo jogai jigyosha), 3-year average income &gt; JPY 1.5bn, FY beginning on/after 1 Apr 2019: Act on Special Measures Concerning Taxation art. 42-4(19)(viii) (cited as art. 42-4(8)(viii) in earlier NTA guidance); Order art. 27-4(13)-(17); NTA, https://www.nta.go.jp/law/joho-zeikaishaku/hojin/group_faq/83.htm</t>
  </si>
  <si>
    <t xml:space="preserve">Enterprise tax and inhabitants tax rates by period, Tokyo: Tokyo Metropolitan Bureau of Taxation, https://www.tax.metro.tokyo.lg.jp/kazei/work/houjinji and the FY2014 rate-revision leaflet, https://www.tax.metro.tokyo.lg.jp/documents/d/tax/zeiritu_kaisei ; Local Tax Act art. 72-24-7</t>
  </si>
  <si>
    <t xml:space="preserve">Graduated income-base rates withdrawn for size-based taxpayers, FY beginning on/after 1 Apr 2022: FY2022 (Reiwa 4) tax reform; Tokyo rate table note 3</t>
  </si>
  <si>
    <t xml:space="preserve">Special defence corporate surtax, 4% of corporate tax less a JPY 5m basic deduction, FY beginning on/after 1 Apr 2026: 2025 Tax Reform Act</t>
  </si>
  <si>
    <t xml:space="preserve">Tokyo super-rate trigger for enterprise tax: annual income &gt; JPY 25m or annual revenue &gt; JPY 200m. Graduated brackets disapplied where capital &gt;= JPY 10m and offices in 3 or more prefectures</t>
  </si>
  <si>
    <t xml:space="preserve">Method, scope and coding notes</t>
  </si>
  <si>
    <t xml:space="preserve">Counting rule</t>
  </si>
  <si>
    <t xml:space="preserve">A combination is counted where it produces a distinct pair of (national CIT marginal rate, Tokyo enterprise tax income-base marginal rate). Deduplication makes no difference in any year: every admitted income-revenue-capital combination generates a distinct rate, so the count of unique rates equals the count of bracket cells throughout FY2014-FY2026.</t>
  </si>
  <si>
    <t xml:space="preserve">Scope A - rates visible in the PwC rate table</t>
  </si>
  <si>
    <t xml:space="preserve">Classifiers: paid-in capital (JPY 100m), the enterprise tax graduated brackets (JPY 4m / JPY 8m), the Tokyo super-rate trigger (income &gt; JPY 25m or revenue &gt; JPY 200m), and the JPY 1bn income threshold for the 17% band. This is the scope that yields 9 for FY2026.</t>
  </si>
  <si>
    <t xml:space="preserve">Scope B - full statutory schedule</t>
  </si>
  <si>
    <t xml:space="preserve">A plus the two classifiers PwC relegates to footnotes. (i) Multi-prefecture rule: where capital is at least JPY 10m and the corporation has offices in three or more prefectures, the graduated enterprise brackets are disapplied, so the top rate applies to the first JPY 8m as well. This adds exactly two cells in every year, 15% + 7.0% and 15% + 7.48% at current rates, and a third from FY2025 via the 17% band. It adds nothing where capital exceeds JPY 100m. (ii) The 19% excluded-enterprise band, which adds three cells from FY2019, one of which also requires multi-prefecture status.</t>
  </si>
  <si>
    <t xml:space="preserve">Incidence differs sharply from cell count</t>
  </si>
  <si>
    <t xml:space="preserve">The 19% band requires three-year average income above JPY 1.5bn while capital stays at or below JPY 100m, a small population. The multi-prefecture rule requires only JPY 10m of capital, historically the standard minimum for a kabushiki kaisha, plus establishments in three prefectures, which is an ordinary mid-sized profile. If the variable is meant to reflect rate multiplicity taxpayers actually face, the multi-prefecture cells have the stronger claim and the 19% band the weaker one, notwithstanding that the 19% band contributes more cells. No published cross-tabulation of capital class by number of prefectures of establishment exists in the NTA Kaisha Hyohon Chosa.</t>
  </si>
  <si>
    <t xml:space="preserve">A duplicate that is not a duplicate</t>
  </si>
  <si>
    <t xml:space="preserve">A multi-prefecture corporation with income above JPY 8m faces the same marginal rate as a graduated corporation in the same bracket. That is the same cell rather than a second one, which is why the multi-prefecture rows in the Grid cover only the first JPY 8m.</t>
  </si>
  <si>
    <t xml:space="preserve">Outside the scope of the count</t>
  </si>
  <si>
    <t xml:space="preserve">Value-added base (1.26%) and capital base (0.525%) of enterprise tax; the per-capita inhabitants' tax; the inhabitants' tax super-rate threshold (corporate tax &gt; JPY 10m), which would split cells that A and B treat as one; the JPY 5m basic deduction in the defence surtax; prefectures other than Tokyo (the Local Tax Act cap is 1.2x the standard rate, and 1.7x for the income base of ordinary corporations with capital &gt; JPY 100m); special enterprise tax regimes for electricity, gas, insurance, co-operatives and medical corporations; Pillar Two top-up taxes; and the FY2026-FY2028 transitional relief for corporations newly brought into size-based taxation.</t>
  </si>
  <si>
    <t xml:space="preserve">If corporate_alt_minimum is about minimum taxes rather than rate multiplicity</t>
  </si>
  <si>
    <t xml:space="preserve">The substantive Japanese item is the size-based enterprise tax (gaikei hyojun kazei): the value-added and capital bases are levied irrespective of profit, so loss-making corporations with capital above JPY 100m still owe enterprise tax. That functions as a minimum tax and sits entirely outside the income-base enumeration here. Japan has no classic alternative minimum tax. The 2024 reform widened the affected population (paid-in capital plus capital surplus above JPY 1bn; certain wholly owned subsidiaries of groups above JPY 5bn) without adding a rate.</t>
  </si>
  <si>
    <t xml:space="preserve">Mid-year regime breaks</t>
  </si>
  <si>
    <t xml:space="preserve">The 2014 and 2019 changes applied to fiscal years beginning on or after 1 October, so calendar 2014 and 2019 each contain two regimes (2014a / 2014b and 2019a / 2019b). The counts are identical across the two halves of each year; the rate levels are not.</t>
  </si>
  <si>
    <t xml:space="preserve">Formulas</t>
  </si>
  <si>
    <t xml:space="preserve">Combined marginal statutory rate = national CIT rate x (1 + local corporate tax + inhabitants' tax + defence surtax) + enterprise tax income-base rate + special local corporate tax (or special corporate business tax) x the standard-rate income-base rate for the same bracket. The effective statutory rate divides by (1 + enterprise tax + special corporate business tax) because both are deductible. FY2026 reproduces the PwC figures of 39.00 / 35.43 for capital above JPY 100m and 32.71 / 31.52 for the top SME bracket.</t>
  </si>
</sst>
</file>

<file path=xl/styles.xml><?xml version="1.0" encoding="utf-8"?>
<styleSheet xmlns="http://schemas.openxmlformats.org/spreadsheetml/2006/main">
  <numFmts count="2">
    <numFmt numFmtId="164" formatCode="General"/>
    <numFmt numFmtId="165" formatCode="0.000"/>
  </numFmts>
  <fonts count="12">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0"/>
      <name val="Arial"/>
      <family val="0"/>
      <charset val="1"/>
    </font>
    <font>
      <b val="true"/>
      <sz val="10"/>
      <color rgb="FFFFFFFF"/>
      <name val="Arial"/>
      <family val="0"/>
      <charset val="1"/>
    </font>
    <font>
      <b val="true"/>
      <sz val="10"/>
      <name val="Arial"/>
      <family val="0"/>
      <charset val="1"/>
    </font>
    <font>
      <sz val="10"/>
      <name val="Arial"/>
      <family val="0"/>
      <charset val="1"/>
    </font>
    <font>
      <b val="true"/>
      <sz val="12"/>
      <name val="Arial"/>
      <family val="0"/>
      <charset val="1"/>
    </font>
    <font>
      <sz val="10"/>
      <color rgb="FF0000FF"/>
      <name val="Arial"/>
      <family val="0"/>
      <charset val="1"/>
    </font>
    <font>
      <sz val="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3">
    <border diagonalUp="false" diagonalDown="false">
      <left/>
      <right/>
      <top/>
      <bottom/>
      <diagonal/>
    </border>
    <border diagonalUp="false" diagonalDown="false">
      <left/>
      <right/>
      <top/>
      <bottom style="thin">
        <color rgb="FFBFBFBF"/>
      </bottom>
      <diagonal/>
    </border>
    <border diagonalUp="false" diagonalDown="false">
      <left/>
      <right/>
      <top style="thin">
        <color rgb="FF8080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1"/>
    <col collapsed="false" customWidth="true" hidden="false" outlineLevel="0" max="3" min="3" style="1" width="17"/>
    <col collapsed="false" customWidth="true" hidden="false" outlineLevel="0" max="4" min="4" style="1" width="15"/>
    <col collapsed="false" customWidth="true" hidden="false" outlineLevel="0" max="5" min="5" style="1" width="12"/>
    <col collapsed="false" customWidth="true" hidden="false" outlineLevel="0" max="6" min="6" style="1" width="17"/>
    <col collapsed="false" customWidth="true" hidden="false" outlineLevel="0" max="7" min="7" style="1" width="20"/>
    <col collapsed="false" customWidth="true" hidden="false" outlineLevel="0" max="8" min="8" style="1" width="74"/>
  </cols>
  <sheetData>
    <row r="1" customFormat="false" ht="15.75" hidden="false" customHeight="true" outlineLevel="0" collapsed="false">
      <c r="A1" s="2" t="s">
        <v>0</v>
      </c>
    </row>
    <row r="2" customFormat="false" ht="15" hidden="false" customHeight="true" outlineLevel="0" collapsed="false">
      <c r="A2" s="3" t="s">
        <v>1</v>
      </c>
    </row>
    <row r="4" customFormat="false" ht="61.5" hidden="false" customHeight="true" outlineLevel="0" collapsed="false">
      <c r="A4" s="4" t="s">
        <v>2</v>
      </c>
      <c r="B4" s="4" t="s">
        <v>3</v>
      </c>
      <c r="C4" s="4" t="s">
        <v>4</v>
      </c>
      <c r="D4" s="4" t="s">
        <v>5</v>
      </c>
      <c r="E4" s="4" t="s">
        <v>6</v>
      </c>
      <c r="F4" s="4" t="s">
        <v>7</v>
      </c>
      <c r="G4" s="4" t="s">
        <v>8</v>
      </c>
      <c r="H4" s="4" t="s">
        <v>9</v>
      </c>
    </row>
    <row r="5" customFormat="false" ht="15" hidden="false" customHeight="true" outlineLevel="0" collapsed="false">
      <c r="A5" s="5" t="s">
        <v>10</v>
      </c>
      <c r="B5" s="6" t="s">
        <v>11</v>
      </c>
      <c r="C5" s="6" t="n">
        <f aca="false">SUMIFS(Grid!$R$2:$R$189,Grid!$A$2:$A$189,$A5)</f>
        <v>9</v>
      </c>
      <c r="D5" s="6" t="n">
        <f aca="false">SUMIFS(Grid!$S$2:$S$189,Grid!$A$2:$A$189,$A5)</f>
        <v>11</v>
      </c>
      <c r="E5" s="6" t="n">
        <f aca="false">SUMIFS(Grid!$S$2:$S$189,Grid!$A$2:$A$189,$A5,Grid!$D$2:$D$189,"core (Convention A)")</f>
        <v>9</v>
      </c>
      <c r="F5" s="6" t="n">
        <f aca="false">SUMIFS(Grid!$S$2:$S$189,Grid!$A$2:$A$189,$A5,Grid!$D$2:$D$189,"multi-prefecture")</f>
        <v>2</v>
      </c>
      <c r="G5" s="6" t="n">
        <f aca="false">SUMIFS(Grid!$S$2:$S$189,Grid!$A$2:$A$189,$A5,Grid!$D$2:$D$189,"excluded enterprise (19%)")</f>
        <v>0</v>
      </c>
      <c r="H5" s="6" t="s">
        <v>12</v>
      </c>
    </row>
    <row r="6" customFormat="false" ht="23.25" hidden="false" customHeight="true" outlineLevel="0" collapsed="false">
      <c r="A6" s="5" t="s">
        <v>13</v>
      </c>
      <c r="B6" s="6" t="s">
        <v>14</v>
      </c>
      <c r="C6" s="6" t="n">
        <f aca="false">SUMIFS(Grid!$R$2:$R$189,Grid!$A$2:$A$189,$A6)</f>
        <v>9</v>
      </c>
      <c r="D6" s="6" t="n">
        <f aca="false">SUMIFS(Grid!$S$2:$S$189,Grid!$A$2:$A$189,$A6)</f>
        <v>11</v>
      </c>
      <c r="E6" s="6" t="n">
        <f aca="false">SUMIFS(Grid!$S$2:$S$189,Grid!$A$2:$A$189,$A6,Grid!$D$2:$D$189,"core (Convention A)")</f>
        <v>9</v>
      </c>
      <c r="F6" s="6" t="n">
        <f aca="false">SUMIFS(Grid!$S$2:$S$189,Grid!$A$2:$A$189,$A6,Grid!$D$2:$D$189,"multi-prefecture")</f>
        <v>2</v>
      </c>
      <c r="G6" s="6" t="n">
        <f aca="false">SUMIFS(Grid!$S$2:$S$189,Grid!$A$2:$A$189,$A6,Grid!$D$2:$D$189,"excluded enterprise (19%)")</f>
        <v>0</v>
      </c>
      <c r="H6" s="6" t="s">
        <v>15</v>
      </c>
    </row>
    <row r="7" customFormat="false" ht="15" hidden="false" customHeight="true" outlineLevel="0" collapsed="false">
      <c r="A7" s="5" t="s">
        <v>16</v>
      </c>
      <c r="B7" s="6" t="s">
        <v>17</v>
      </c>
      <c r="C7" s="6" t="n">
        <f aca="false">SUMIFS(Grid!$R$2:$R$189,Grid!$A$2:$A$189,$A7)</f>
        <v>9</v>
      </c>
      <c r="D7" s="6" t="n">
        <f aca="false">SUMIFS(Grid!$S$2:$S$189,Grid!$A$2:$A$189,$A7)</f>
        <v>11</v>
      </c>
      <c r="E7" s="6" t="n">
        <f aca="false">SUMIFS(Grid!$S$2:$S$189,Grid!$A$2:$A$189,$A7,Grid!$D$2:$D$189,"core (Convention A)")</f>
        <v>9</v>
      </c>
      <c r="F7" s="6" t="n">
        <f aca="false">SUMIFS(Grid!$S$2:$S$189,Grid!$A$2:$A$189,$A7,Grid!$D$2:$D$189,"multi-prefecture")</f>
        <v>2</v>
      </c>
      <c r="G7" s="6" t="n">
        <f aca="false">SUMIFS(Grid!$S$2:$S$189,Grid!$A$2:$A$189,$A7,Grid!$D$2:$D$189,"excluded enterprise (19%)")</f>
        <v>0</v>
      </c>
      <c r="H7" s="6" t="s">
        <v>18</v>
      </c>
    </row>
    <row r="8" customFormat="false" ht="15" hidden="false" customHeight="true" outlineLevel="0" collapsed="false">
      <c r="A8" s="5" t="s">
        <v>19</v>
      </c>
      <c r="B8" s="6" t="s">
        <v>20</v>
      </c>
      <c r="C8" s="6" t="n">
        <f aca="false">SUMIFS(Grid!$R$2:$R$189,Grid!$A$2:$A$189,$A8)</f>
        <v>9</v>
      </c>
      <c r="D8" s="6" t="n">
        <f aca="false">SUMIFS(Grid!$S$2:$S$189,Grid!$A$2:$A$189,$A8)</f>
        <v>11</v>
      </c>
      <c r="E8" s="6" t="n">
        <f aca="false">SUMIFS(Grid!$S$2:$S$189,Grid!$A$2:$A$189,$A8,Grid!$D$2:$D$189,"core (Convention A)")</f>
        <v>9</v>
      </c>
      <c r="F8" s="6" t="n">
        <f aca="false">SUMIFS(Grid!$S$2:$S$189,Grid!$A$2:$A$189,$A8,Grid!$D$2:$D$189,"multi-prefecture")</f>
        <v>2</v>
      </c>
      <c r="G8" s="6" t="n">
        <f aca="false">SUMIFS(Grid!$S$2:$S$189,Grid!$A$2:$A$189,$A8,Grid!$D$2:$D$189,"excluded enterprise (19%)")</f>
        <v>0</v>
      </c>
      <c r="H8" s="6" t="s">
        <v>21</v>
      </c>
    </row>
    <row r="9" customFormat="false" ht="15" hidden="false" customHeight="true" outlineLevel="0" collapsed="false">
      <c r="A9" s="5" t="s">
        <v>22</v>
      </c>
      <c r="B9" s="6" t="s">
        <v>23</v>
      </c>
      <c r="C9" s="6" t="n">
        <f aca="false">SUMIFS(Grid!$R$2:$R$189,Grid!$A$2:$A$189,$A9)</f>
        <v>9</v>
      </c>
      <c r="D9" s="6" t="n">
        <f aca="false">SUMIFS(Grid!$S$2:$S$189,Grid!$A$2:$A$189,$A9)</f>
        <v>11</v>
      </c>
      <c r="E9" s="6" t="n">
        <f aca="false">SUMIFS(Grid!$S$2:$S$189,Grid!$A$2:$A$189,$A9,Grid!$D$2:$D$189,"core (Convention A)")</f>
        <v>9</v>
      </c>
      <c r="F9" s="6" t="n">
        <f aca="false">SUMIFS(Grid!$S$2:$S$189,Grid!$A$2:$A$189,$A9,Grid!$D$2:$D$189,"multi-prefecture")</f>
        <v>2</v>
      </c>
      <c r="G9" s="6" t="n">
        <f aca="false">SUMIFS(Grid!$S$2:$S$189,Grid!$A$2:$A$189,$A9,Grid!$D$2:$D$189,"excluded enterprise (19%)")</f>
        <v>0</v>
      </c>
      <c r="H9" s="6" t="s">
        <v>24</v>
      </c>
    </row>
    <row r="10" customFormat="false" ht="15" hidden="false" customHeight="true" outlineLevel="0" collapsed="false">
      <c r="A10" s="5" t="s">
        <v>25</v>
      </c>
      <c r="B10" s="6" t="s">
        <v>26</v>
      </c>
      <c r="C10" s="6" t="n">
        <f aca="false">SUMIFS(Grid!$R$2:$R$189,Grid!$A$2:$A$189,$A10)</f>
        <v>9</v>
      </c>
      <c r="D10" s="6" t="n">
        <f aca="false">SUMIFS(Grid!$S$2:$S$189,Grid!$A$2:$A$189,$A10)</f>
        <v>11</v>
      </c>
      <c r="E10" s="6" t="n">
        <f aca="false">SUMIFS(Grid!$S$2:$S$189,Grid!$A$2:$A$189,$A10,Grid!$D$2:$D$189,"core (Convention A)")</f>
        <v>9</v>
      </c>
      <c r="F10" s="6" t="n">
        <f aca="false">SUMIFS(Grid!$S$2:$S$189,Grid!$A$2:$A$189,$A10,Grid!$D$2:$D$189,"multi-prefecture")</f>
        <v>2</v>
      </c>
      <c r="G10" s="6" t="n">
        <f aca="false">SUMIFS(Grid!$S$2:$S$189,Grid!$A$2:$A$189,$A10,Grid!$D$2:$D$189,"excluded enterprise (19%)")</f>
        <v>0</v>
      </c>
      <c r="H10" s="6" t="s">
        <v>27</v>
      </c>
    </row>
    <row r="11" customFormat="false" ht="15" hidden="false" customHeight="true" outlineLevel="0" collapsed="false">
      <c r="A11" s="5" t="s">
        <v>28</v>
      </c>
      <c r="B11" s="6" t="s">
        <v>29</v>
      </c>
      <c r="C11" s="6" t="n">
        <f aca="false">SUMIFS(Grid!$R$2:$R$189,Grid!$A$2:$A$189,$A11)</f>
        <v>9</v>
      </c>
      <c r="D11" s="6" t="n">
        <f aca="false">SUMIFS(Grid!$S$2:$S$189,Grid!$A$2:$A$189,$A11)</f>
        <v>14</v>
      </c>
      <c r="E11" s="6" t="n">
        <f aca="false">SUMIFS(Grid!$S$2:$S$189,Grid!$A$2:$A$189,$A11,Grid!$D$2:$D$189,"core (Convention A)")</f>
        <v>9</v>
      </c>
      <c r="F11" s="6" t="n">
        <f aca="false">SUMIFS(Grid!$S$2:$S$189,Grid!$A$2:$A$189,$A11,Grid!$D$2:$D$189,"multi-prefecture")</f>
        <v>2</v>
      </c>
      <c r="G11" s="6" t="n">
        <f aca="false">SUMIFS(Grid!$S$2:$S$189,Grid!$A$2:$A$189,$A11,Grid!$D$2:$D$189,"excluded enterprise (19%)")</f>
        <v>3</v>
      </c>
      <c r="H11" s="6" t="s">
        <v>30</v>
      </c>
    </row>
    <row r="12" customFormat="false" ht="23.25" hidden="false" customHeight="true" outlineLevel="0" collapsed="false">
      <c r="A12" s="5" t="s">
        <v>31</v>
      </c>
      <c r="B12" s="6" t="s">
        <v>32</v>
      </c>
      <c r="C12" s="6" t="n">
        <f aca="false">SUMIFS(Grid!$R$2:$R$189,Grid!$A$2:$A$189,$A12)</f>
        <v>9</v>
      </c>
      <c r="D12" s="6" t="n">
        <f aca="false">SUMIFS(Grid!$S$2:$S$189,Grid!$A$2:$A$189,$A12)</f>
        <v>14</v>
      </c>
      <c r="E12" s="6" t="n">
        <f aca="false">SUMIFS(Grid!$S$2:$S$189,Grid!$A$2:$A$189,$A12,Grid!$D$2:$D$189,"core (Convention A)")</f>
        <v>9</v>
      </c>
      <c r="F12" s="6" t="n">
        <f aca="false">SUMIFS(Grid!$S$2:$S$189,Grid!$A$2:$A$189,$A12,Grid!$D$2:$D$189,"multi-prefecture")</f>
        <v>2</v>
      </c>
      <c r="G12" s="6" t="n">
        <f aca="false">SUMIFS(Grid!$S$2:$S$189,Grid!$A$2:$A$189,$A12,Grid!$D$2:$D$189,"excluded enterprise (19%)")</f>
        <v>3</v>
      </c>
      <c r="H12" s="6" t="s">
        <v>33</v>
      </c>
    </row>
    <row r="13" customFormat="false" ht="15" hidden="false" customHeight="true" outlineLevel="0" collapsed="false">
      <c r="A13" s="5" t="s">
        <v>34</v>
      </c>
      <c r="B13" s="6" t="s">
        <v>35</v>
      </c>
      <c r="C13" s="6" t="n">
        <f aca="false">SUMIFS(Grid!$R$2:$R$189,Grid!$A$2:$A$189,$A13)</f>
        <v>9</v>
      </c>
      <c r="D13" s="6" t="n">
        <f aca="false">SUMIFS(Grid!$S$2:$S$189,Grid!$A$2:$A$189,$A13)</f>
        <v>14</v>
      </c>
      <c r="E13" s="6" t="n">
        <f aca="false">SUMIFS(Grid!$S$2:$S$189,Grid!$A$2:$A$189,$A13,Grid!$D$2:$D$189,"core (Convention A)")</f>
        <v>9</v>
      </c>
      <c r="F13" s="6" t="n">
        <f aca="false">SUMIFS(Grid!$S$2:$S$189,Grid!$A$2:$A$189,$A13,Grid!$D$2:$D$189,"multi-prefecture")</f>
        <v>2</v>
      </c>
      <c r="G13" s="6" t="n">
        <f aca="false">SUMIFS(Grid!$S$2:$S$189,Grid!$A$2:$A$189,$A13,Grid!$D$2:$D$189,"excluded enterprise (19%)")</f>
        <v>3</v>
      </c>
      <c r="H13" s="6" t="s">
        <v>24</v>
      </c>
    </row>
    <row r="14" customFormat="false" ht="15" hidden="false" customHeight="true" outlineLevel="0" collapsed="false">
      <c r="A14" s="5" t="s">
        <v>36</v>
      </c>
      <c r="B14" s="6" t="s">
        <v>37</v>
      </c>
      <c r="C14" s="6" t="n">
        <f aca="false">SUMIFS(Grid!$R$2:$R$189,Grid!$A$2:$A$189,$A14)</f>
        <v>9</v>
      </c>
      <c r="D14" s="6" t="n">
        <f aca="false">SUMIFS(Grid!$S$2:$S$189,Grid!$A$2:$A$189,$A14)</f>
        <v>14</v>
      </c>
      <c r="E14" s="6" t="n">
        <f aca="false">SUMIFS(Grid!$S$2:$S$189,Grid!$A$2:$A$189,$A14,Grid!$D$2:$D$189,"core (Convention A)")</f>
        <v>9</v>
      </c>
      <c r="F14" s="6" t="n">
        <f aca="false">SUMIFS(Grid!$S$2:$S$189,Grid!$A$2:$A$189,$A14,Grid!$D$2:$D$189,"multi-prefecture")</f>
        <v>2</v>
      </c>
      <c r="G14" s="6" t="n">
        <f aca="false">SUMIFS(Grid!$S$2:$S$189,Grid!$A$2:$A$189,$A14,Grid!$D$2:$D$189,"excluded enterprise (19%)")</f>
        <v>3</v>
      </c>
      <c r="H14" s="6" t="s">
        <v>24</v>
      </c>
    </row>
    <row r="15" customFormat="false" ht="23.25" hidden="false" customHeight="true" outlineLevel="0" collapsed="false">
      <c r="A15" s="5" t="s">
        <v>38</v>
      </c>
      <c r="B15" s="6" t="s">
        <v>39</v>
      </c>
      <c r="C15" s="6" t="n">
        <f aca="false">SUMIFS(Grid!$R$2:$R$189,Grid!$A$2:$A$189,$A15)</f>
        <v>7</v>
      </c>
      <c r="D15" s="6" t="n">
        <f aca="false">SUMIFS(Grid!$S$2:$S$189,Grid!$A$2:$A$189,$A15)</f>
        <v>12</v>
      </c>
      <c r="E15" s="6" t="n">
        <f aca="false">SUMIFS(Grid!$S$2:$S$189,Grid!$A$2:$A$189,$A15,Grid!$D$2:$D$189,"core (Convention A)")</f>
        <v>7</v>
      </c>
      <c r="F15" s="6" t="n">
        <f aca="false">SUMIFS(Grid!$S$2:$S$189,Grid!$A$2:$A$189,$A15,Grid!$D$2:$D$189,"multi-prefecture")</f>
        <v>2</v>
      </c>
      <c r="G15" s="6" t="n">
        <f aca="false">SUMIFS(Grid!$S$2:$S$189,Grid!$A$2:$A$189,$A15,Grid!$D$2:$D$189,"excluded enterprise (19%)")</f>
        <v>3</v>
      </c>
      <c r="H15" s="6" t="s">
        <v>40</v>
      </c>
    </row>
    <row r="16" customFormat="false" ht="15" hidden="false" customHeight="true" outlineLevel="0" collapsed="false">
      <c r="A16" s="5" t="s">
        <v>41</v>
      </c>
      <c r="B16" s="6" t="s">
        <v>42</v>
      </c>
      <c r="C16" s="6" t="n">
        <f aca="false">SUMIFS(Grid!$R$2:$R$189,Grid!$A$2:$A$189,$A16)</f>
        <v>7</v>
      </c>
      <c r="D16" s="6" t="n">
        <f aca="false">SUMIFS(Grid!$S$2:$S$189,Grid!$A$2:$A$189,$A16)</f>
        <v>12</v>
      </c>
      <c r="E16" s="6" t="n">
        <f aca="false">SUMIFS(Grid!$S$2:$S$189,Grid!$A$2:$A$189,$A16,Grid!$D$2:$D$189,"core (Convention A)")</f>
        <v>7</v>
      </c>
      <c r="F16" s="6" t="n">
        <f aca="false">SUMIFS(Grid!$S$2:$S$189,Grid!$A$2:$A$189,$A16,Grid!$D$2:$D$189,"multi-prefecture")</f>
        <v>2</v>
      </c>
      <c r="G16" s="6" t="n">
        <f aca="false">SUMIFS(Grid!$S$2:$S$189,Grid!$A$2:$A$189,$A16,Grid!$D$2:$D$189,"excluded enterprise (19%)")</f>
        <v>3</v>
      </c>
      <c r="H16" s="6" t="s">
        <v>24</v>
      </c>
    </row>
    <row r="17" customFormat="false" ht="15" hidden="false" customHeight="true" outlineLevel="0" collapsed="false">
      <c r="A17" s="5" t="s">
        <v>43</v>
      </c>
      <c r="B17" s="6" t="s">
        <v>44</v>
      </c>
      <c r="C17" s="6" t="n">
        <f aca="false">SUMIFS(Grid!$R$2:$R$189,Grid!$A$2:$A$189,$A17)</f>
        <v>7</v>
      </c>
      <c r="D17" s="6" t="n">
        <f aca="false">SUMIFS(Grid!$S$2:$S$189,Grid!$A$2:$A$189,$A17)</f>
        <v>12</v>
      </c>
      <c r="E17" s="6" t="n">
        <f aca="false">SUMIFS(Grid!$S$2:$S$189,Grid!$A$2:$A$189,$A17,Grid!$D$2:$D$189,"core (Convention A)")</f>
        <v>7</v>
      </c>
      <c r="F17" s="6" t="n">
        <f aca="false">SUMIFS(Grid!$S$2:$S$189,Grid!$A$2:$A$189,$A17,Grid!$D$2:$D$189,"multi-prefecture")</f>
        <v>2</v>
      </c>
      <c r="G17" s="6" t="n">
        <f aca="false">SUMIFS(Grid!$S$2:$S$189,Grid!$A$2:$A$189,$A17,Grid!$D$2:$D$189,"excluded enterprise (19%)")</f>
        <v>3</v>
      </c>
      <c r="H17" s="6" t="s">
        <v>45</v>
      </c>
    </row>
    <row r="18" customFormat="false" ht="23.25" hidden="false" customHeight="true" outlineLevel="0" collapsed="false">
      <c r="A18" s="5" t="s">
        <v>46</v>
      </c>
      <c r="B18" s="6" t="s">
        <v>47</v>
      </c>
      <c r="C18" s="6" t="n">
        <f aca="false">SUMIFS(Grid!$R$2:$R$189,Grid!$A$2:$A$189,$A18)</f>
        <v>9</v>
      </c>
      <c r="D18" s="6" t="n">
        <f aca="false">SUMIFS(Grid!$S$2:$S$189,Grid!$A$2:$A$189,$A18)</f>
        <v>15</v>
      </c>
      <c r="E18" s="6" t="n">
        <f aca="false">SUMIFS(Grid!$S$2:$S$189,Grid!$A$2:$A$189,$A18,Grid!$D$2:$D$189,"core (Convention A)")</f>
        <v>9</v>
      </c>
      <c r="F18" s="6" t="n">
        <f aca="false">SUMIFS(Grid!$S$2:$S$189,Grid!$A$2:$A$189,$A18,Grid!$D$2:$D$189,"multi-prefecture")</f>
        <v>3</v>
      </c>
      <c r="G18" s="6" t="n">
        <f aca="false">SUMIFS(Grid!$S$2:$S$189,Grid!$A$2:$A$189,$A18,Grid!$D$2:$D$189,"excluded enterprise (19%)")</f>
        <v>3</v>
      </c>
      <c r="H18" s="6" t="s">
        <v>48</v>
      </c>
    </row>
    <row r="19" customFormat="false" ht="15" hidden="false" customHeight="true" outlineLevel="0" collapsed="false">
      <c r="A19" s="5" t="s">
        <v>49</v>
      </c>
      <c r="B19" s="6" t="s">
        <v>50</v>
      </c>
      <c r="C19" s="6" t="n">
        <f aca="false">SUMIFS(Grid!$R$2:$R$189,Grid!$A$2:$A$189,$A19)</f>
        <v>9</v>
      </c>
      <c r="D19" s="6" t="n">
        <f aca="false">SUMIFS(Grid!$S$2:$S$189,Grid!$A$2:$A$189,$A19)</f>
        <v>15</v>
      </c>
      <c r="E19" s="6" t="n">
        <f aca="false">SUMIFS(Grid!$S$2:$S$189,Grid!$A$2:$A$189,$A19,Grid!$D$2:$D$189,"core (Convention A)")</f>
        <v>9</v>
      </c>
      <c r="F19" s="6" t="n">
        <f aca="false">SUMIFS(Grid!$S$2:$S$189,Grid!$A$2:$A$189,$A19,Grid!$D$2:$D$189,"multi-prefecture")</f>
        <v>3</v>
      </c>
      <c r="G19" s="6" t="n">
        <f aca="false">SUMIFS(Grid!$S$2:$S$189,Grid!$A$2:$A$189,$A19,Grid!$D$2:$D$189,"excluded enterprise (19%)")</f>
        <v>3</v>
      </c>
      <c r="H19" s="6" t="s">
        <v>51</v>
      </c>
    </row>
    <row r="20" customFormat="false" ht="15" hidden="false" customHeight="true" outlineLevel="0" collapsed="false">
      <c r="A20" s="7"/>
      <c r="B20" s="8" t="s">
        <v>52</v>
      </c>
      <c r="C20" s="8" t="n">
        <f aca="false">SUM(C5:C19)</f>
        <v>129</v>
      </c>
      <c r="D20" s="8" t="n">
        <f aca="false">SUM(D5:D19)</f>
        <v>188</v>
      </c>
      <c r="E20" s="8" t="n">
        <f aca="false">SUM(E5:E19)</f>
        <v>129</v>
      </c>
      <c r="F20" s="8" t="n">
        <f aca="false">SUM(F5:F19)</f>
        <v>32</v>
      </c>
      <c r="G20" s="8" t="n">
        <f aca="false">SUM(G5:G19)</f>
        <v>27</v>
      </c>
      <c r="H20" s="7"/>
    </row>
    <row r="22" customFormat="false" ht="292.5" hidden="false" customHeight="true" outlineLevel="0" collapsed="false">
      <c r="A22" s="9"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7"/>
    <col collapsed="false" customWidth="true" hidden="false" outlineLevel="0" max="3" min="3" style="0" width="9"/>
    <col collapsed="false" customWidth="true" hidden="false" outlineLevel="0" max="4" min="4" style="0" width="7"/>
    <col collapsed="false" customWidth="true" hidden="false" outlineLevel="0" max="5" min="5" style="0" width="96"/>
    <col collapsed="false" customWidth="true" hidden="false" outlineLevel="0" max="6" min="6" style="0" width="13"/>
    <col collapsed="false" customWidth="true" hidden="false" outlineLevel="0" max="7" min="7" style="0" width="22"/>
    <col collapsed="false" customWidth="true" hidden="false" outlineLevel="0" max="8" min="8" style="0" width="12"/>
    <col collapsed="false" customWidth="true" hidden="false" outlineLevel="0" max="10" min="9" style="0" width="10"/>
    <col collapsed="false" customWidth="true" hidden="false" outlineLevel="0" max="11" min="11" style="0" width="15"/>
    <col collapsed="false" customWidth="true" hidden="false" outlineLevel="0" max="12" min="12" style="0" width="13"/>
    <col collapsed="false" customWidth="true" hidden="false" outlineLevel="0" max="13" min="13" style="0" width="12"/>
  </cols>
  <sheetData>
    <row r="1" customFormat="false" ht="15" hidden="false" customHeight="false" outlineLevel="0" collapsed="false">
      <c r="A1" s="10" t="s">
        <v>54</v>
      </c>
    </row>
    <row r="2" customFormat="false" ht="67.5" hidden="false" customHeight="true" outlineLevel="0" collapsed="false">
      <c r="A2" s="9" t="s">
        <v>55</v>
      </c>
    </row>
    <row r="4" customFormat="false" ht="72" hidden="false" customHeight="true" outlineLevel="0" collapsed="false">
      <c r="A4" s="4" t="s">
        <v>56</v>
      </c>
      <c r="B4" s="4" t="s">
        <v>57</v>
      </c>
      <c r="C4" s="4" t="s">
        <v>58</v>
      </c>
      <c r="D4" s="4" t="s">
        <v>59</v>
      </c>
      <c r="E4" s="4" t="s">
        <v>60</v>
      </c>
      <c r="F4" s="4" t="s">
        <v>61</v>
      </c>
      <c r="G4" s="4" t="s">
        <v>62</v>
      </c>
      <c r="H4" s="4" t="s">
        <v>63</v>
      </c>
      <c r="I4" s="4" t="s">
        <v>64</v>
      </c>
      <c r="J4" s="4" t="s">
        <v>65</v>
      </c>
      <c r="K4" s="4" t="s">
        <v>66</v>
      </c>
      <c r="L4" s="4" t="s">
        <v>67</v>
      </c>
      <c r="M4" s="4" t="s">
        <v>68</v>
      </c>
    </row>
    <row r="5" customFormat="false" ht="62.25" hidden="false" customHeight="true" outlineLevel="0" collapsed="false">
      <c r="A5" s="6" t="s">
        <v>69</v>
      </c>
      <c r="B5" s="6" t="s">
        <v>70</v>
      </c>
      <c r="C5" s="6" t="s">
        <v>71</v>
      </c>
      <c r="D5" s="6" t="n">
        <v>2014</v>
      </c>
      <c r="E5" s="6" t="s">
        <v>72</v>
      </c>
      <c r="F5" s="11" t="n">
        <v>8</v>
      </c>
      <c r="G5" s="6" t="s">
        <v>73</v>
      </c>
      <c r="H5" s="12" t="n">
        <v>9</v>
      </c>
      <c r="I5" s="6" t="n">
        <v>8</v>
      </c>
      <c r="J5" s="6" t="n">
        <v>0</v>
      </c>
      <c r="K5" s="6" t="n">
        <v>1</v>
      </c>
      <c r="L5" s="12" t="n">
        <v>1</v>
      </c>
      <c r="M5" s="6" t="s">
        <v>74</v>
      </c>
    </row>
    <row r="6" customFormat="false" ht="62.25" hidden="false" customHeight="true" outlineLevel="0" collapsed="false">
      <c r="A6" s="6" t="s">
        <v>69</v>
      </c>
      <c r="B6" s="6" t="s">
        <v>70</v>
      </c>
      <c r="C6" s="6" t="s">
        <v>71</v>
      </c>
      <c r="D6" s="6" t="n">
        <v>2015</v>
      </c>
      <c r="E6" s="6" t="s">
        <v>75</v>
      </c>
      <c r="F6" s="11" t="n">
        <v>8</v>
      </c>
      <c r="G6" s="6" t="s">
        <v>76</v>
      </c>
      <c r="H6" s="12" t="n">
        <v>9</v>
      </c>
      <c r="I6" s="6" t="n">
        <v>8</v>
      </c>
      <c r="J6" s="6" t="n">
        <v>0</v>
      </c>
      <c r="K6" s="6" t="n">
        <v>1</v>
      </c>
      <c r="L6" s="12" t="n">
        <v>1</v>
      </c>
      <c r="M6" s="6" t="s">
        <v>74</v>
      </c>
    </row>
    <row r="7" customFormat="false" ht="62.25" hidden="false" customHeight="true" outlineLevel="0" collapsed="false">
      <c r="A7" s="6" t="s">
        <v>69</v>
      </c>
      <c r="B7" s="6" t="s">
        <v>70</v>
      </c>
      <c r="C7" s="6" t="s">
        <v>71</v>
      </c>
      <c r="D7" s="6" t="n">
        <v>2016</v>
      </c>
      <c r="E7" s="6" t="s">
        <v>77</v>
      </c>
      <c r="F7" s="11" t="n">
        <v>8</v>
      </c>
      <c r="G7" s="6" t="s">
        <v>78</v>
      </c>
      <c r="H7" s="12" t="n">
        <v>9</v>
      </c>
      <c r="I7" s="6" t="n">
        <v>8</v>
      </c>
      <c r="J7" s="6" t="n">
        <v>0</v>
      </c>
      <c r="K7" s="6" t="n">
        <v>1</v>
      </c>
      <c r="L7" s="12" t="n">
        <v>1</v>
      </c>
      <c r="M7" s="6" t="s">
        <v>74</v>
      </c>
    </row>
    <row r="8" customFormat="false" ht="49.5" hidden="false" customHeight="true" outlineLevel="0" collapsed="false">
      <c r="A8" s="6" t="s">
        <v>69</v>
      </c>
      <c r="B8" s="6" t="s">
        <v>70</v>
      </c>
      <c r="C8" s="6" t="s">
        <v>71</v>
      </c>
      <c r="D8" s="6" t="n">
        <v>2017</v>
      </c>
      <c r="E8" s="6" t="s">
        <v>79</v>
      </c>
      <c r="F8" s="11" t="n">
        <v>8</v>
      </c>
      <c r="G8" s="6" t="s">
        <v>80</v>
      </c>
      <c r="H8" s="12" t="n">
        <v>9</v>
      </c>
      <c r="I8" s="6" t="n">
        <v>8</v>
      </c>
      <c r="J8" s="6" t="n">
        <v>0</v>
      </c>
      <c r="K8" s="6" t="n">
        <v>1</v>
      </c>
      <c r="L8" s="12" t="n">
        <v>1</v>
      </c>
      <c r="M8" s="6" t="s">
        <v>74</v>
      </c>
    </row>
    <row r="9" customFormat="false" ht="62.25" hidden="false" customHeight="true" outlineLevel="0" collapsed="false">
      <c r="A9" s="6" t="s">
        <v>69</v>
      </c>
      <c r="B9" s="6" t="s">
        <v>70</v>
      </c>
      <c r="C9" s="6" t="s">
        <v>71</v>
      </c>
      <c r="D9" s="6" t="n">
        <v>2018</v>
      </c>
      <c r="E9" s="6" t="s">
        <v>81</v>
      </c>
      <c r="F9" s="11" t="n">
        <v>8</v>
      </c>
      <c r="G9" s="6" t="s">
        <v>82</v>
      </c>
      <c r="H9" s="12" t="n">
        <v>9</v>
      </c>
      <c r="I9" s="6" t="n">
        <v>8</v>
      </c>
      <c r="J9" s="6" t="n">
        <v>0</v>
      </c>
      <c r="K9" s="6" t="n">
        <v>1</v>
      </c>
      <c r="L9" s="12" t="n">
        <v>1</v>
      </c>
      <c r="M9" s="6" t="s">
        <v>74</v>
      </c>
    </row>
    <row r="10" customFormat="false" ht="99.75" hidden="false" customHeight="true" outlineLevel="0" collapsed="false">
      <c r="A10" s="6" t="s">
        <v>69</v>
      </c>
      <c r="B10" s="6" t="s">
        <v>70</v>
      </c>
      <c r="C10" s="6" t="s">
        <v>71</v>
      </c>
      <c r="D10" s="6" t="n">
        <v>2019</v>
      </c>
      <c r="E10" s="6" t="s">
        <v>83</v>
      </c>
      <c r="F10" s="11" t="n">
        <v>8</v>
      </c>
      <c r="G10" s="6" t="s">
        <v>84</v>
      </c>
      <c r="H10" s="12" t="n">
        <v>9</v>
      </c>
      <c r="I10" s="6" t="n">
        <v>8</v>
      </c>
      <c r="J10" s="6" t="n">
        <v>0</v>
      </c>
      <c r="K10" s="6" t="n">
        <v>2</v>
      </c>
      <c r="L10" s="12" t="n">
        <v>1</v>
      </c>
      <c r="M10" s="6" t="s">
        <v>74</v>
      </c>
    </row>
    <row r="11" customFormat="false" ht="62.25" hidden="false" customHeight="true" outlineLevel="0" collapsed="false">
      <c r="A11" s="6" t="s">
        <v>69</v>
      </c>
      <c r="B11" s="6" t="s">
        <v>70</v>
      </c>
      <c r="C11" s="6" t="s">
        <v>71</v>
      </c>
      <c r="D11" s="6" t="n">
        <v>2020</v>
      </c>
      <c r="E11" s="6" t="s">
        <v>85</v>
      </c>
      <c r="F11" s="11" t="n">
        <v>8</v>
      </c>
      <c r="G11" s="6" t="s">
        <v>86</v>
      </c>
      <c r="H11" s="12" t="n">
        <v>9</v>
      </c>
      <c r="I11" s="6" t="n">
        <v>8</v>
      </c>
      <c r="J11" s="6" t="n">
        <v>0</v>
      </c>
      <c r="K11" s="6" t="n">
        <v>2</v>
      </c>
      <c r="L11" s="12" t="n">
        <v>1</v>
      </c>
      <c r="M11" s="6" t="s">
        <v>74</v>
      </c>
    </row>
    <row r="12" customFormat="false" ht="62.25" hidden="false" customHeight="true" outlineLevel="0" collapsed="false">
      <c r="A12" s="6" t="s">
        <v>69</v>
      </c>
      <c r="B12" s="6" t="s">
        <v>70</v>
      </c>
      <c r="C12" s="6" t="s">
        <v>71</v>
      </c>
      <c r="D12" s="6" t="n">
        <v>2021</v>
      </c>
      <c r="E12" s="6" t="s">
        <v>87</v>
      </c>
      <c r="F12" s="11" t="n">
        <v>8</v>
      </c>
      <c r="G12" s="6" t="s">
        <v>88</v>
      </c>
      <c r="H12" s="12" t="n">
        <v>9</v>
      </c>
      <c r="I12" s="6" t="n">
        <v>8</v>
      </c>
      <c r="J12" s="6" t="n">
        <v>0</v>
      </c>
      <c r="K12" s="6" t="n">
        <v>2</v>
      </c>
      <c r="L12" s="12" t="n">
        <v>1</v>
      </c>
      <c r="M12" s="6" t="s">
        <v>74</v>
      </c>
    </row>
    <row r="13" customFormat="false" ht="62.25" hidden="false" customHeight="true" outlineLevel="0" collapsed="false">
      <c r="A13" s="6" t="s">
        <v>69</v>
      </c>
      <c r="B13" s="6" t="s">
        <v>70</v>
      </c>
      <c r="C13" s="6" t="s">
        <v>71</v>
      </c>
      <c r="D13" s="6" t="n">
        <v>2022</v>
      </c>
      <c r="E13" s="6" t="s">
        <v>89</v>
      </c>
      <c r="F13" s="11" t="n">
        <v>6</v>
      </c>
      <c r="G13" s="6" t="s">
        <v>90</v>
      </c>
      <c r="H13" s="12" t="n">
        <v>7</v>
      </c>
      <c r="I13" s="6" t="n">
        <v>6</v>
      </c>
      <c r="J13" s="6" t="n">
        <v>0</v>
      </c>
      <c r="K13" s="6" t="n">
        <v>2</v>
      </c>
      <c r="L13" s="12" t="n">
        <v>1</v>
      </c>
      <c r="M13" s="6" t="s">
        <v>91</v>
      </c>
    </row>
    <row r="14" customFormat="false" ht="49.5" hidden="false" customHeight="true" outlineLevel="0" collapsed="false">
      <c r="A14" s="6" t="s">
        <v>69</v>
      </c>
      <c r="B14" s="6" t="s">
        <v>70</v>
      </c>
      <c r="C14" s="6" t="s">
        <v>71</v>
      </c>
      <c r="D14" s="6" t="n">
        <v>2023</v>
      </c>
      <c r="E14" s="6" t="s">
        <v>92</v>
      </c>
      <c r="F14" s="11" t="n">
        <v>6</v>
      </c>
      <c r="G14" s="6" t="s">
        <v>93</v>
      </c>
      <c r="H14" s="12" t="n">
        <v>7</v>
      </c>
      <c r="I14" s="6" t="n">
        <v>6</v>
      </c>
      <c r="J14" s="6" t="n">
        <v>0</v>
      </c>
      <c r="K14" s="6" t="n">
        <v>2</v>
      </c>
      <c r="L14" s="12" t="n">
        <v>1</v>
      </c>
      <c r="M14" s="6" t="s">
        <v>91</v>
      </c>
    </row>
    <row r="15" customFormat="false" ht="87" hidden="false" customHeight="true" outlineLevel="0" collapsed="false">
      <c r="A15" s="6" t="s">
        <v>69</v>
      </c>
      <c r="B15" s="6" t="s">
        <v>70</v>
      </c>
      <c r="C15" s="6" t="s">
        <v>71</v>
      </c>
      <c r="D15" s="6" t="n">
        <v>2024</v>
      </c>
      <c r="E15" s="6" t="s">
        <v>94</v>
      </c>
      <c r="F15" s="11" t="n">
        <v>6</v>
      </c>
      <c r="G15" s="6" t="s">
        <v>95</v>
      </c>
      <c r="H15" s="12" t="n">
        <v>7</v>
      </c>
      <c r="I15" s="6" t="n">
        <v>6</v>
      </c>
      <c r="J15" s="6" t="n">
        <v>0</v>
      </c>
      <c r="K15" s="6" t="n">
        <v>2</v>
      </c>
      <c r="L15" s="12" t="n">
        <v>2</v>
      </c>
      <c r="M15" s="6" t="s">
        <v>96</v>
      </c>
    </row>
    <row r="16" customFormat="false" ht="62.25" hidden="false" customHeight="true" outlineLevel="0" collapsed="false">
      <c r="A16" s="6" t="s">
        <v>69</v>
      </c>
      <c r="B16" s="6" t="s">
        <v>70</v>
      </c>
      <c r="C16" s="6" t="s">
        <v>71</v>
      </c>
      <c r="D16" s="6" t="n">
        <v>2025</v>
      </c>
      <c r="E16" s="6" t="s">
        <v>97</v>
      </c>
      <c r="F16" s="11" t="n">
        <v>8</v>
      </c>
      <c r="G16" s="6" t="s">
        <v>98</v>
      </c>
      <c r="H16" s="12" t="n">
        <v>9</v>
      </c>
      <c r="I16" s="6" t="n">
        <v>8</v>
      </c>
      <c r="J16" s="6" t="n">
        <v>0</v>
      </c>
      <c r="K16" s="6" t="n">
        <v>3</v>
      </c>
      <c r="L16" s="12" t="n">
        <v>1</v>
      </c>
      <c r="M16" s="6" t="s">
        <v>74</v>
      </c>
    </row>
    <row r="17" customFormat="false" ht="112.5" hidden="false" customHeight="true" outlineLevel="0" collapsed="false">
      <c r="A17" s="6" t="s">
        <v>69</v>
      </c>
      <c r="B17" s="6" t="s">
        <v>70</v>
      </c>
      <c r="C17" s="6" t="s">
        <v>71</v>
      </c>
      <c r="D17" s="6" t="n">
        <v>2026</v>
      </c>
      <c r="E17" s="6" t="s">
        <v>99</v>
      </c>
      <c r="F17" s="13" t="n">
        <v>9</v>
      </c>
      <c r="G17" s="6" t="s">
        <v>100</v>
      </c>
      <c r="H17" s="6" t="n">
        <v>9</v>
      </c>
      <c r="I17" s="6" t="n">
        <v>8</v>
      </c>
      <c r="J17" s="6" t="n">
        <v>1</v>
      </c>
      <c r="K17" s="6" t="n">
        <v>4</v>
      </c>
      <c r="L17" s="6"/>
      <c r="M17" s="6" t="s">
        <v>101</v>
      </c>
    </row>
    <row r="19" customFormat="false" ht="15" hidden="false" customHeight="false" outlineLevel="0" collapsed="false">
      <c r="A19" s="14" t="s">
        <v>102</v>
      </c>
    </row>
    <row r="20" customFormat="false" ht="37.5" hidden="false" customHeight="true" outlineLevel="0" collapsed="false">
      <c r="A20" s="15" t="s">
        <v>103</v>
      </c>
    </row>
    <row r="21" customFormat="false" ht="37.5" hidden="false" customHeight="true" outlineLevel="0" collapsed="false">
      <c r="A21" s="15" t="s">
        <v>104</v>
      </c>
    </row>
    <row r="22" customFormat="false" ht="37.5" hidden="false" customHeight="true" outlineLevel="0" collapsed="false">
      <c r="A22" s="15" t="s">
        <v>105</v>
      </c>
    </row>
    <row r="23" customFormat="false" ht="24.75" hidden="false" customHeight="true" outlineLevel="0" collapsed="false">
      <c r="A23" s="15" t="s">
        <v>106</v>
      </c>
    </row>
    <row r="24" customFormat="false" ht="24.75" hidden="false" customHeight="true" outlineLevel="0" collapsed="false">
      <c r="A24" s="15" t="s">
        <v>107</v>
      </c>
    </row>
    <row r="25" customFormat="false" ht="24.75" hidden="false" customHeight="true" outlineLevel="0" collapsed="false">
      <c r="A25" s="15" t="s">
        <v>108</v>
      </c>
    </row>
    <row r="26" customFormat="false" ht="37.5" hidden="false" customHeight="true" outlineLevel="0" collapsed="false">
      <c r="A26" s="15" t="s">
        <v>109</v>
      </c>
    </row>
    <row r="27" customFormat="false" ht="24.75" hidden="false" customHeight="true" outlineLevel="0" collapsed="false">
      <c r="A27" s="15" t="s">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0"/>
    <col collapsed="false" customWidth="true" hidden="false" outlineLevel="0" max="3" min="3" style="1" width="7"/>
    <col collapsed="false" customWidth="true" hidden="false" outlineLevel="0" max="4" min="4" style="1" width="22"/>
    <col collapsed="false" customWidth="true" hidden="false" outlineLevel="0" max="5" min="5" style="1" width="13"/>
    <col collapsed="false" customWidth="true" hidden="false" outlineLevel="0" max="6" min="6" style="1" width="26"/>
    <col collapsed="false" customWidth="true" hidden="false" outlineLevel="0" max="7" min="7" style="1" width="13"/>
    <col collapsed="false" customWidth="true" hidden="false" outlineLevel="0" max="8" min="8" style="1" width="20"/>
    <col collapsed="false" customWidth="true" hidden="false" outlineLevel="0" max="9" min="9" style="1" width="10"/>
    <col collapsed="false" customWidth="true" hidden="false" outlineLevel="0" max="10" min="10" style="1" width="11"/>
    <col collapsed="false" customWidth="true" hidden="false" outlineLevel="0" max="11" min="11" style="1" width="12"/>
    <col collapsed="false" customWidth="true" hidden="false" outlineLevel="0" max="12" min="12" style="1" width="15"/>
    <col collapsed="false" customWidth="true" hidden="false" outlineLevel="0" max="13" min="13" style="1" width="11"/>
    <col collapsed="false" customWidth="true" hidden="false" outlineLevel="0" max="14" min="14" style="1" width="12"/>
    <col collapsed="false" customWidth="true" hidden="false" outlineLevel="0" max="15" min="15" style="1" width="11"/>
    <col collapsed="false" customWidth="true" hidden="false" outlineLevel="0" max="16" min="16" style="1" width="14"/>
    <col collapsed="false" customWidth="true" hidden="false" outlineLevel="0" max="17" min="17" style="1" width="13"/>
    <col collapsed="false" customWidth="true" hidden="false" outlineLevel="0" max="19" min="18" style="1" width="9"/>
    <col collapsed="false" customWidth="true" hidden="false" outlineLevel="0" max="20" min="20" style="1" width="78"/>
  </cols>
  <sheetData>
    <row r="1" customFormat="false" ht="57.75" hidden="false" customHeight="true" outlineLevel="0" collapsed="false">
      <c r="A1" s="4" t="s">
        <v>2</v>
      </c>
      <c r="B1" s="4" t="s">
        <v>3</v>
      </c>
      <c r="C1" s="4" t="s">
        <v>111</v>
      </c>
      <c r="D1" s="4" t="s">
        <v>112</v>
      </c>
      <c r="E1" s="4" t="s">
        <v>113</v>
      </c>
      <c r="F1" s="4" t="s">
        <v>114</v>
      </c>
      <c r="G1" s="4" t="s">
        <v>115</v>
      </c>
      <c r="H1" s="4" t="s">
        <v>116</v>
      </c>
      <c r="I1" s="4" t="s">
        <v>117</v>
      </c>
      <c r="J1" s="4" t="s">
        <v>118</v>
      </c>
      <c r="K1" s="4" t="s">
        <v>119</v>
      </c>
      <c r="L1" s="4" t="s">
        <v>120</v>
      </c>
      <c r="M1" s="4" t="s">
        <v>121</v>
      </c>
      <c r="N1" s="4" t="s">
        <v>122</v>
      </c>
      <c r="O1" s="4" t="s">
        <v>123</v>
      </c>
      <c r="P1" s="4" t="s">
        <v>124</v>
      </c>
      <c r="Q1" s="4" t="s">
        <v>125</v>
      </c>
      <c r="R1" s="4" t="s">
        <v>126</v>
      </c>
      <c r="S1" s="4" t="s">
        <v>127</v>
      </c>
      <c r="T1" s="4" t="s">
        <v>128</v>
      </c>
    </row>
    <row r="2" customFormat="false" ht="15" hidden="false" customHeight="true" outlineLevel="0" collapsed="false">
      <c r="A2" s="16" t="s">
        <v>10</v>
      </c>
      <c r="B2" s="16" t="s">
        <v>11</v>
      </c>
      <c r="C2" s="16" t="s">
        <v>129</v>
      </c>
      <c r="D2" s="16" t="s">
        <v>130</v>
      </c>
      <c r="E2" s="16" t="s">
        <v>131</v>
      </c>
      <c r="F2" s="16" t="s">
        <v>132</v>
      </c>
      <c r="G2" s="16" t="s">
        <v>133</v>
      </c>
      <c r="H2" s="16" t="s">
        <v>134</v>
      </c>
      <c r="I2" s="17" t="n">
        <v>15</v>
      </c>
      <c r="J2" s="17" t="n">
        <v>2.7</v>
      </c>
      <c r="K2" s="17" t="n">
        <v>2.7</v>
      </c>
      <c r="L2" s="17" t="n">
        <v>81</v>
      </c>
      <c r="M2" s="17" t="n">
        <v>0</v>
      </c>
      <c r="N2" s="17" t="n">
        <v>20.7</v>
      </c>
      <c r="O2" s="17" t="n">
        <v>0</v>
      </c>
      <c r="P2" s="17" t="n">
        <f aca="false">I2*(1+M2/100+N2/100+O2/100)+J2+L2/100*K2</f>
        <v>22.992</v>
      </c>
      <c r="Q2" s="17" t="n">
        <f aca="false">P2/(1+J2/100+L2/100*K2/100)</f>
        <v>21.9207337420271</v>
      </c>
      <c r="R2" s="16" t="n">
        <v>1</v>
      </c>
      <c r="S2" s="16" t="n">
        <v>1</v>
      </c>
      <c r="T2" s="6" t="s">
        <v>135</v>
      </c>
    </row>
    <row r="3" customFormat="false" ht="15" hidden="false" customHeight="true" outlineLevel="0" collapsed="false">
      <c r="A3" s="16" t="s">
        <v>10</v>
      </c>
      <c r="B3" s="16" t="s">
        <v>11</v>
      </c>
      <c r="C3" s="16" t="s">
        <v>129</v>
      </c>
      <c r="D3" s="16" t="s">
        <v>130</v>
      </c>
      <c r="E3" s="16" t="s">
        <v>131</v>
      </c>
      <c r="F3" s="16" t="s">
        <v>132</v>
      </c>
      <c r="G3" s="16" t="s">
        <v>136</v>
      </c>
      <c r="H3" s="16" t="s">
        <v>134</v>
      </c>
      <c r="I3" s="17" t="n">
        <v>15</v>
      </c>
      <c r="J3" s="17" t="n">
        <v>2.95</v>
      </c>
      <c r="K3" s="17" t="n">
        <v>2.7</v>
      </c>
      <c r="L3" s="17" t="n">
        <v>81</v>
      </c>
      <c r="M3" s="17" t="n">
        <v>0</v>
      </c>
      <c r="N3" s="17" t="n">
        <v>20.7</v>
      </c>
      <c r="O3" s="17" t="n">
        <v>0</v>
      </c>
      <c r="P3" s="17" t="n">
        <f aca="false">I3*(1+M3/100+N3/100+O3/100)+J3+L3/100*K3</f>
        <v>23.242</v>
      </c>
      <c r="Q3" s="17" t="n">
        <f aca="false">P3/(1+J3/100+L3/100*K3/100)</f>
        <v>22.1063945138248</v>
      </c>
      <c r="R3" s="16" t="n">
        <v>1</v>
      </c>
      <c r="S3" s="16" t="n">
        <v>1</v>
      </c>
      <c r="T3" s="6" t="s">
        <v>137</v>
      </c>
    </row>
    <row r="4" customFormat="false" ht="15" hidden="false" customHeight="true" outlineLevel="0" collapsed="false">
      <c r="A4" s="16" t="s">
        <v>10</v>
      </c>
      <c r="B4" s="16" t="s">
        <v>11</v>
      </c>
      <c r="C4" s="16" t="s">
        <v>129</v>
      </c>
      <c r="D4" s="16" t="s">
        <v>130</v>
      </c>
      <c r="E4" s="16" t="s">
        <v>131</v>
      </c>
      <c r="F4" s="16" t="s">
        <v>138</v>
      </c>
      <c r="G4" s="16" t="s">
        <v>133</v>
      </c>
      <c r="H4" s="16" t="s">
        <v>134</v>
      </c>
      <c r="I4" s="17" t="n">
        <v>15</v>
      </c>
      <c r="J4" s="17" t="n">
        <v>4</v>
      </c>
      <c r="K4" s="17" t="n">
        <v>4</v>
      </c>
      <c r="L4" s="17" t="n">
        <v>81</v>
      </c>
      <c r="M4" s="17" t="n">
        <v>0</v>
      </c>
      <c r="N4" s="17" t="n">
        <v>20.7</v>
      </c>
      <c r="O4" s="17" t="n">
        <v>0</v>
      </c>
      <c r="P4" s="17" t="n">
        <f aca="false">I4*(1+M4/100+N4/100+O4/100)+J4+L4/100*K4</f>
        <v>25.345</v>
      </c>
      <c r="Q4" s="17" t="n">
        <f aca="false">P4/(1+J4/100+L4/100*K4/100)</f>
        <v>23.6339052592316</v>
      </c>
      <c r="R4" s="16" t="n">
        <v>1</v>
      </c>
      <c r="S4" s="16" t="n">
        <v>1</v>
      </c>
      <c r="T4" s="6" t="s">
        <v>135</v>
      </c>
    </row>
    <row r="5" customFormat="false" ht="15" hidden="false" customHeight="true" outlineLevel="0" collapsed="false">
      <c r="A5" s="16" t="s">
        <v>10</v>
      </c>
      <c r="B5" s="16" t="s">
        <v>11</v>
      </c>
      <c r="C5" s="16" t="s">
        <v>129</v>
      </c>
      <c r="D5" s="16" t="s">
        <v>130</v>
      </c>
      <c r="E5" s="16" t="s">
        <v>131</v>
      </c>
      <c r="F5" s="16" t="s">
        <v>138</v>
      </c>
      <c r="G5" s="16" t="s">
        <v>136</v>
      </c>
      <c r="H5" s="16" t="s">
        <v>134</v>
      </c>
      <c r="I5" s="17" t="n">
        <v>15</v>
      </c>
      <c r="J5" s="17" t="n">
        <v>4.365</v>
      </c>
      <c r="K5" s="17" t="n">
        <v>4</v>
      </c>
      <c r="L5" s="17" t="n">
        <v>81</v>
      </c>
      <c r="M5" s="17" t="n">
        <v>0</v>
      </c>
      <c r="N5" s="17" t="n">
        <v>20.7</v>
      </c>
      <c r="O5" s="17" t="n">
        <v>0</v>
      </c>
      <c r="P5" s="17" t="n">
        <f aca="false">I5*(1+M5/100+N5/100+O5/100)+J5+L5/100*K5</f>
        <v>25.71</v>
      </c>
      <c r="Q5" s="17" t="n">
        <f aca="false">P5/(1+J5/100+L5/100*K5/100)</f>
        <v>23.8929417777984</v>
      </c>
      <c r="R5" s="16" t="n">
        <v>1</v>
      </c>
      <c r="S5" s="16" t="n">
        <v>1</v>
      </c>
      <c r="T5" s="6" t="s">
        <v>137</v>
      </c>
    </row>
    <row r="6" customFormat="false" ht="15" hidden="false" customHeight="true" outlineLevel="0" collapsed="false">
      <c r="A6" s="16" t="s">
        <v>10</v>
      </c>
      <c r="B6" s="16" t="s">
        <v>11</v>
      </c>
      <c r="C6" s="16" t="s">
        <v>129</v>
      </c>
      <c r="D6" s="16" t="s">
        <v>130</v>
      </c>
      <c r="E6" s="16" t="s">
        <v>131</v>
      </c>
      <c r="F6" s="16" t="s">
        <v>139</v>
      </c>
      <c r="G6" s="16" t="s">
        <v>133</v>
      </c>
      <c r="H6" s="16" t="s">
        <v>140</v>
      </c>
      <c r="I6" s="17" t="n">
        <v>25.5</v>
      </c>
      <c r="J6" s="17" t="n">
        <v>5.3</v>
      </c>
      <c r="K6" s="17" t="n">
        <v>5.3</v>
      </c>
      <c r="L6" s="17" t="n">
        <v>81</v>
      </c>
      <c r="M6" s="17" t="n">
        <v>0</v>
      </c>
      <c r="N6" s="17" t="n">
        <v>20.7</v>
      </c>
      <c r="O6" s="17" t="n">
        <v>0</v>
      </c>
      <c r="P6" s="17" t="n">
        <f aca="false">I6*(1+M6/100+N6/100+O6/100)+J6+L6/100*K6</f>
        <v>40.3715</v>
      </c>
      <c r="Q6" s="17" t="n">
        <f aca="false">P6/(1+J6/100+L6/100*K6/100)</f>
        <v>36.8376629894245</v>
      </c>
      <c r="R6" s="16" t="n">
        <v>1</v>
      </c>
      <c r="S6" s="16" t="n">
        <v>1</v>
      </c>
      <c r="T6" s="6" t="s">
        <v>135</v>
      </c>
    </row>
    <row r="7" customFormat="false" ht="15" hidden="false" customHeight="true" outlineLevel="0" collapsed="false">
      <c r="A7" s="16" t="s">
        <v>10</v>
      </c>
      <c r="B7" s="16" t="s">
        <v>11</v>
      </c>
      <c r="C7" s="16" t="s">
        <v>129</v>
      </c>
      <c r="D7" s="16" t="s">
        <v>130</v>
      </c>
      <c r="E7" s="16" t="s">
        <v>131</v>
      </c>
      <c r="F7" s="16" t="s">
        <v>139</v>
      </c>
      <c r="G7" s="16" t="s">
        <v>136</v>
      </c>
      <c r="H7" s="16" t="s">
        <v>140</v>
      </c>
      <c r="I7" s="17" t="n">
        <v>25.5</v>
      </c>
      <c r="J7" s="17" t="n">
        <v>5.78</v>
      </c>
      <c r="K7" s="17" t="n">
        <v>5.3</v>
      </c>
      <c r="L7" s="17" t="n">
        <v>81</v>
      </c>
      <c r="M7" s="17" t="n">
        <v>0</v>
      </c>
      <c r="N7" s="17" t="n">
        <v>20.7</v>
      </c>
      <c r="O7" s="17" t="n">
        <v>0</v>
      </c>
      <c r="P7" s="17" t="n">
        <f aca="false">I7*(1+M7/100+N7/100+O7/100)+J7+L7/100*K7</f>
        <v>40.8515</v>
      </c>
      <c r="Q7" s="17" t="n">
        <f aca="false">P7/(1+J7/100+L7/100*K7/100)</f>
        <v>37.1130976715453</v>
      </c>
      <c r="R7" s="16" t="n">
        <v>1</v>
      </c>
      <c r="S7" s="16" t="n">
        <v>1</v>
      </c>
      <c r="T7" s="6" t="s">
        <v>137</v>
      </c>
    </row>
    <row r="8" customFormat="false" ht="15" hidden="false" customHeight="true" outlineLevel="0" collapsed="false">
      <c r="A8" s="16" t="s">
        <v>10</v>
      </c>
      <c r="B8" s="16" t="s">
        <v>11</v>
      </c>
      <c r="C8" s="16" t="s">
        <v>129</v>
      </c>
      <c r="D8" s="16" t="s">
        <v>130</v>
      </c>
      <c r="E8" s="16" t="s">
        <v>141</v>
      </c>
      <c r="F8" s="16" t="s">
        <v>132</v>
      </c>
      <c r="G8" s="16" t="s">
        <v>136</v>
      </c>
      <c r="H8" s="16" t="s">
        <v>140</v>
      </c>
      <c r="I8" s="17" t="n">
        <v>25.5</v>
      </c>
      <c r="J8" s="17" t="n">
        <v>1.69</v>
      </c>
      <c r="K8" s="17" t="n">
        <v>1.5</v>
      </c>
      <c r="L8" s="17" t="n">
        <v>148</v>
      </c>
      <c r="M8" s="17" t="n">
        <v>0</v>
      </c>
      <c r="N8" s="17" t="n">
        <v>20.7</v>
      </c>
      <c r="O8" s="17" t="n">
        <v>0</v>
      </c>
      <c r="P8" s="17" t="n">
        <f aca="false">I8*(1+M8/100+N8/100+O8/100)+J8+L8/100*K8</f>
        <v>34.6885</v>
      </c>
      <c r="Q8" s="17" t="n">
        <f aca="false">P8/(1+J8/100+L8/100*K8/100)</f>
        <v>33.3832162448273</v>
      </c>
      <c r="R8" s="16" t="n">
        <v>1</v>
      </c>
      <c r="S8" s="16" t="n">
        <v>1</v>
      </c>
      <c r="T8" s="6" t="s">
        <v>142</v>
      </c>
    </row>
    <row r="9" customFormat="false" ht="15" hidden="false" customHeight="true" outlineLevel="0" collapsed="false">
      <c r="A9" s="16" t="s">
        <v>10</v>
      </c>
      <c r="B9" s="16" t="s">
        <v>11</v>
      </c>
      <c r="C9" s="16" t="s">
        <v>129</v>
      </c>
      <c r="D9" s="16" t="s">
        <v>130</v>
      </c>
      <c r="E9" s="16" t="s">
        <v>141</v>
      </c>
      <c r="F9" s="16" t="s">
        <v>138</v>
      </c>
      <c r="G9" s="16" t="s">
        <v>136</v>
      </c>
      <c r="H9" s="16" t="s">
        <v>140</v>
      </c>
      <c r="I9" s="17" t="n">
        <v>25.5</v>
      </c>
      <c r="J9" s="17" t="n">
        <v>2.475</v>
      </c>
      <c r="K9" s="17" t="n">
        <v>2.2</v>
      </c>
      <c r="L9" s="17" t="n">
        <v>148</v>
      </c>
      <c r="M9" s="17" t="n">
        <v>0</v>
      </c>
      <c r="N9" s="17" t="n">
        <v>20.7</v>
      </c>
      <c r="O9" s="17" t="n">
        <v>0</v>
      </c>
      <c r="P9" s="17" t="n">
        <f aca="false">I9*(1+M9/100+N9/100+O9/100)+J9+L9/100*K9</f>
        <v>36.5095</v>
      </c>
      <c r="Q9" s="17" t="n">
        <f aca="false">P9/(1+J9/100+L9/100*K9/100)</f>
        <v>34.5305539529561</v>
      </c>
      <c r="R9" s="16" t="n">
        <v>1</v>
      </c>
      <c r="S9" s="16" t="n">
        <v>1</v>
      </c>
      <c r="T9" s="6" t="s">
        <v>142</v>
      </c>
    </row>
    <row r="10" customFormat="false" ht="15" hidden="false" customHeight="true" outlineLevel="0" collapsed="false">
      <c r="A10" s="16" t="s">
        <v>10</v>
      </c>
      <c r="B10" s="16" t="s">
        <v>11</v>
      </c>
      <c r="C10" s="16" t="s">
        <v>129</v>
      </c>
      <c r="D10" s="16" t="s">
        <v>130</v>
      </c>
      <c r="E10" s="16" t="s">
        <v>141</v>
      </c>
      <c r="F10" s="16" t="s">
        <v>139</v>
      </c>
      <c r="G10" s="16" t="s">
        <v>136</v>
      </c>
      <c r="H10" s="16" t="s">
        <v>140</v>
      </c>
      <c r="I10" s="17" t="n">
        <v>25.5</v>
      </c>
      <c r="J10" s="17" t="n">
        <v>3.26</v>
      </c>
      <c r="K10" s="17" t="n">
        <v>2.9</v>
      </c>
      <c r="L10" s="17" t="n">
        <v>148</v>
      </c>
      <c r="M10" s="17" t="n">
        <v>0</v>
      </c>
      <c r="N10" s="17" t="n">
        <v>20.7</v>
      </c>
      <c r="O10" s="17" t="n">
        <v>0</v>
      </c>
      <c r="P10" s="17" t="n">
        <f aca="false">I10*(1+M10/100+N10/100+O10/100)+J10+L10/100*K10</f>
        <v>38.3305</v>
      </c>
      <c r="Q10" s="17" t="n">
        <f aca="false">P10/(1+J10/100+L10/100*K10/100)</f>
        <v>35.6390397203213</v>
      </c>
      <c r="R10" s="16" t="n">
        <v>1</v>
      </c>
      <c r="S10" s="16" t="n">
        <v>1</v>
      </c>
      <c r="T10" s="6" t="s">
        <v>142</v>
      </c>
    </row>
    <row r="11" customFormat="false" ht="23.25" hidden="false" customHeight="true" outlineLevel="0" collapsed="false">
      <c r="A11" s="16" t="s">
        <v>10</v>
      </c>
      <c r="B11" s="16" t="s">
        <v>11</v>
      </c>
      <c r="C11" s="16" t="s">
        <v>143</v>
      </c>
      <c r="D11" s="16" t="s">
        <v>144</v>
      </c>
      <c r="E11" s="16" t="s">
        <v>131</v>
      </c>
      <c r="F11" s="16" t="s">
        <v>145</v>
      </c>
      <c r="G11" s="16" t="s">
        <v>133</v>
      </c>
      <c r="H11" s="16" t="s">
        <v>146</v>
      </c>
      <c r="I11" s="17" t="n">
        <v>15</v>
      </c>
      <c r="J11" s="17" t="n">
        <v>5.3</v>
      </c>
      <c r="K11" s="17" t="n">
        <v>5.3</v>
      </c>
      <c r="L11" s="17" t="n">
        <v>81</v>
      </c>
      <c r="M11" s="17" t="n">
        <v>0</v>
      </c>
      <c r="N11" s="17" t="n">
        <v>20.7</v>
      </c>
      <c r="O11" s="17" t="n">
        <v>0</v>
      </c>
      <c r="P11" s="17" t="n">
        <f aca="false">I11*(1+M11/100+N11/100+O11/100)+J11+L11/100*K11</f>
        <v>27.698</v>
      </c>
      <c r="Q11" s="17" t="n">
        <f aca="false">P11/(1+J11/100+L11/100*K11/100)</f>
        <v>25.2735119943792</v>
      </c>
      <c r="R11" s="16" t="n">
        <v>0</v>
      </c>
      <c r="S11" s="16" t="n">
        <v>1</v>
      </c>
      <c r="T11" s="6" t="s">
        <v>147</v>
      </c>
    </row>
    <row r="12" customFormat="false" ht="23.25" hidden="false" customHeight="true" outlineLevel="0" collapsed="false">
      <c r="A12" s="16" t="s">
        <v>10</v>
      </c>
      <c r="B12" s="16" t="s">
        <v>11</v>
      </c>
      <c r="C12" s="16" t="s">
        <v>143</v>
      </c>
      <c r="D12" s="16" t="s">
        <v>144</v>
      </c>
      <c r="E12" s="16" t="s">
        <v>131</v>
      </c>
      <c r="F12" s="16" t="s">
        <v>145</v>
      </c>
      <c r="G12" s="16" t="s">
        <v>136</v>
      </c>
      <c r="H12" s="16" t="s">
        <v>146</v>
      </c>
      <c r="I12" s="17" t="n">
        <v>15</v>
      </c>
      <c r="J12" s="17" t="n">
        <v>5.78</v>
      </c>
      <c r="K12" s="17" t="n">
        <v>5.3</v>
      </c>
      <c r="L12" s="17" t="n">
        <v>81</v>
      </c>
      <c r="M12" s="17" t="n">
        <v>0</v>
      </c>
      <c r="N12" s="17" t="n">
        <v>20.7</v>
      </c>
      <c r="O12" s="17" t="n">
        <v>0</v>
      </c>
      <c r="P12" s="17" t="n">
        <f aca="false">I12*(1+M12/100+N12/100+O12/100)+J12+L12/100*K12</f>
        <v>28.178</v>
      </c>
      <c r="Q12" s="17" t="n">
        <f aca="false">P12/(1+J12/100+L12/100*K12/100)</f>
        <v>25.5993749602537</v>
      </c>
      <c r="R12" s="16" t="n">
        <v>0</v>
      </c>
      <c r="S12" s="16" t="n">
        <v>1</v>
      </c>
      <c r="T12" s="6" t="s">
        <v>147</v>
      </c>
    </row>
    <row r="13" customFormat="false" ht="15" hidden="false" customHeight="true" outlineLevel="0" collapsed="false">
      <c r="A13" s="16" t="s">
        <v>13</v>
      </c>
      <c r="B13" s="16" t="s">
        <v>14</v>
      </c>
      <c r="C13" s="16" t="s">
        <v>129</v>
      </c>
      <c r="D13" s="16" t="s">
        <v>130</v>
      </c>
      <c r="E13" s="16" t="s">
        <v>131</v>
      </c>
      <c r="F13" s="16" t="s">
        <v>132</v>
      </c>
      <c r="G13" s="16" t="s">
        <v>133</v>
      </c>
      <c r="H13" s="16" t="s">
        <v>134</v>
      </c>
      <c r="I13" s="17" t="n">
        <v>15</v>
      </c>
      <c r="J13" s="17" t="n">
        <v>3.4</v>
      </c>
      <c r="K13" s="17" t="n">
        <v>3.4</v>
      </c>
      <c r="L13" s="17" t="n">
        <v>43.2</v>
      </c>
      <c r="M13" s="17" t="n">
        <v>4.4</v>
      </c>
      <c r="N13" s="17" t="n">
        <v>16.3</v>
      </c>
      <c r="O13" s="17" t="n">
        <v>0</v>
      </c>
      <c r="P13" s="17" t="n">
        <f aca="false">I13*(1+M13/100+N13/100+O13/100)+J13+L13/100*K13</f>
        <v>22.9738</v>
      </c>
      <c r="Q13" s="17" t="n">
        <f aca="false">P13/(1+J13/100+L13/100*K13/100)</f>
        <v>21.9071830706559</v>
      </c>
      <c r="R13" s="16" t="n">
        <v>1</v>
      </c>
      <c r="S13" s="16" t="n">
        <v>1</v>
      </c>
      <c r="T13" s="6" t="s">
        <v>135</v>
      </c>
    </row>
    <row r="14" customFormat="false" ht="15" hidden="false" customHeight="true" outlineLevel="0" collapsed="false">
      <c r="A14" s="16" t="s">
        <v>13</v>
      </c>
      <c r="B14" s="16" t="s">
        <v>14</v>
      </c>
      <c r="C14" s="16" t="s">
        <v>129</v>
      </c>
      <c r="D14" s="16" t="s">
        <v>130</v>
      </c>
      <c r="E14" s="16" t="s">
        <v>131</v>
      </c>
      <c r="F14" s="16" t="s">
        <v>132</v>
      </c>
      <c r="G14" s="16" t="s">
        <v>136</v>
      </c>
      <c r="H14" s="16" t="s">
        <v>134</v>
      </c>
      <c r="I14" s="17" t="n">
        <v>15</v>
      </c>
      <c r="J14" s="17" t="n">
        <v>3.65</v>
      </c>
      <c r="K14" s="17" t="n">
        <v>3.4</v>
      </c>
      <c r="L14" s="17" t="n">
        <v>43.2</v>
      </c>
      <c r="M14" s="17" t="n">
        <v>4.4</v>
      </c>
      <c r="N14" s="17" t="n">
        <v>16.3</v>
      </c>
      <c r="O14" s="17" t="n">
        <v>0</v>
      </c>
      <c r="P14" s="17" t="n">
        <f aca="false">I14*(1+M14/100+N14/100+O14/100)+J14+L14/100*K14</f>
        <v>23.2238</v>
      </c>
      <c r="Q14" s="17" t="n">
        <f aca="false">P14/(1+J14/100+L14/100*K14/100)</f>
        <v>22.0929082143251</v>
      </c>
      <c r="R14" s="16" t="n">
        <v>1</v>
      </c>
      <c r="S14" s="16" t="n">
        <v>1</v>
      </c>
      <c r="T14" s="6" t="s">
        <v>137</v>
      </c>
    </row>
    <row r="15" customFormat="false" ht="15" hidden="false" customHeight="true" outlineLevel="0" collapsed="false">
      <c r="A15" s="16" t="s">
        <v>13</v>
      </c>
      <c r="B15" s="16" t="s">
        <v>14</v>
      </c>
      <c r="C15" s="16" t="s">
        <v>129</v>
      </c>
      <c r="D15" s="16" t="s">
        <v>130</v>
      </c>
      <c r="E15" s="16" t="s">
        <v>131</v>
      </c>
      <c r="F15" s="16" t="s">
        <v>138</v>
      </c>
      <c r="G15" s="16" t="s">
        <v>133</v>
      </c>
      <c r="H15" s="16" t="s">
        <v>134</v>
      </c>
      <c r="I15" s="17" t="n">
        <v>15</v>
      </c>
      <c r="J15" s="17" t="n">
        <v>5.1</v>
      </c>
      <c r="K15" s="17" t="n">
        <v>5.1</v>
      </c>
      <c r="L15" s="17" t="n">
        <v>43.2</v>
      </c>
      <c r="M15" s="17" t="n">
        <v>4.4</v>
      </c>
      <c r="N15" s="17" t="n">
        <v>16.3</v>
      </c>
      <c r="O15" s="17" t="n">
        <v>0</v>
      </c>
      <c r="P15" s="17" t="n">
        <f aca="false">I15*(1+M15/100+N15/100+O15/100)+J15+L15/100*K15</f>
        <v>25.4082</v>
      </c>
      <c r="Q15" s="17" t="n">
        <f aca="false">P15/(1+J15/100+L15/100*K15/100)</f>
        <v>23.6788837611553</v>
      </c>
      <c r="R15" s="16" t="n">
        <v>1</v>
      </c>
      <c r="S15" s="16" t="n">
        <v>1</v>
      </c>
      <c r="T15" s="6" t="s">
        <v>135</v>
      </c>
    </row>
    <row r="16" customFormat="false" ht="15" hidden="false" customHeight="true" outlineLevel="0" collapsed="false">
      <c r="A16" s="16" t="s">
        <v>13</v>
      </c>
      <c r="B16" s="16" t="s">
        <v>14</v>
      </c>
      <c r="C16" s="16" t="s">
        <v>129</v>
      </c>
      <c r="D16" s="16" t="s">
        <v>130</v>
      </c>
      <c r="E16" s="16" t="s">
        <v>131</v>
      </c>
      <c r="F16" s="16" t="s">
        <v>138</v>
      </c>
      <c r="G16" s="16" t="s">
        <v>136</v>
      </c>
      <c r="H16" s="16" t="s">
        <v>134</v>
      </c>
      <c r="I16" s="17" t="n">
        <v>15</v>
      </c>
      <c r="J16" s="17" t="n">
        <v>5.465</v>
      </c>
      <c r="K16" s="17" t="n">
        <v>5.1</v>
      </c>
      <c r="L16" s="17" t="n">
        <v>43.2</v>
      </c>
      <c r="M16" s="17" t="n">
        <v>4.4</v>
      </c>
      <c r="N16" s="17" t="n">
        <v>16.3</v>
      </c>
      <c r="O16" s="17" t="n">
        <v>0</v>
      </c>
      <c r="P16" s="17" t="n">
        <f aca="false">I16*(1+M16/100+N16/100+O16/100)+J16+L16/100*K16</f>
        <v>25.7732</v>
      </c>
      <c r="Q16" s="17" t="n">
        <f aca="false">P16/(1+J16/100+L16/100*K16/100)</f>
        <v>23.9376157491256</v>
      </c>
      <c r="R16" s="16" t="n">
        <v>1</v>
      </c>
      <c r="S16" s="16" t="n">
        <v>1</v>
      </c>
      <c r="T16" s="6" t="s">
        <v>137</v>
      </c>
    </row>
    <row r="17" customFormat="false" ht="15" hidden="false" customHeight="true" outlineLevel="0" collapsed="false">
      <c r="A17" s="16" t="s">
        <v>13</v>
      </c>
      <c r="B17" s="16" t="s">
        <v>14</v>
      </c>
      <c r="C17" s="16" t="s">
        <v>129</v>
      </c>
      <c r="D17" s="16" t="s">
        <v>130</v>
      </c>
      <c r="E17" s="16" t="s">
        <v>131</v>
      </c>
      <c r="F17" s="16" t="s">
        <v>139</v>
      </c>
      <c r="G17" s="16" t="s">
        <v>133</v>
      </c>
      <c r="H17" s="16" t="s">
        <v>140</v>
      </c>
      <c r="I17" s="17" t="n">
        <v>25.5</v>
      </c>
      <c r="J17" s="17" t="n">
        <v>6.7</v>
      </c>
      <c r="K17" s="17" t="n">
        <v>6.7</v>
      </c>
      <c r="L17" s="17" t="n">
        <v>43.2</v>
      </c>
      <c r="M17" s="17" t="n">
        <v>4.4</v>
      </c>
      <c r="N17" s="17" t="n">
        <v>16.3</v>
      </c>
      <c r="O17" s="17" t="n">
        <v>0</v>
      </c>
      <c r="P17" s="17" t="n">
        <f aca="false">I17*(1+M17/100+N17/100+O17/100)+J17+L17/100*K17</f>
        <v>40.3729</v>
      </c>
      <c r="Q17" s="17" t="n">
        <f aca="false">P17/(1+J17/100+L17/100*K17/100)</f>
        <v>36.8384698488244</v>
      </c>
      <c r="R17" s="16" t="n">
        <v>1</v>
      </c>
      <c r="S17" s="16" t="n">
        <v>1</v>
      </c>
      <c r="T17" s="6" t="s">
        <v>135</v>
      </c>
    </row>
    <row r="18" customFormat="false" ht="15" hidden="false" customHeight="true" outlineLevel="0" collapsed="false">
      <c r="A18" s="16" t="s">
        <v>13</v>
      </c>
      <c r="B18" s="16" t="s">
        <v>14</v>
      </c>
      <c r="C18" s="16" t="s">
        <v>129</v>
      </c>
      <c r="D18" s="16" t="s">
        <v>130</v>
      </c>
      <c r="E18" s="16" t="s">
        <v>131</v>
      </c>
      <c r="F18" s="16" t="s">
        <v>139</v>
      </c>
      <c r="G18" s="16" t="s">
        <v>136</v>
      </c>
      <c r="H18" s="16" t="s">
        <v>140</v>
      </c>
      <c r="I18" s="17" t="n">
        <v>25.5</v>
      </c>
      <c r="J18" s="17" t="n">
        <v>7.18</v>
      </c>
      <c r="K18" s="17" t="n">
        <v>6.7</v>
      </c>
      <c r="L18" s="17" t="n">
        <v>43.2</v>
      </c>
      <c r="M18" s="17" t="n">
        <v>4.4</v>
      </c>
      <c r="N18" s="17" t="n">
        <v>16.3</v>
      </c>
      <c r="O18" s="17" t="n">
        <v>0</v>
      </c>
      <c r="P18" s="17" t="n">
        <f aca="false">I18*(1+M18/100+N18/100+O18/100)+J18+L18/100*K18</f>
        <v>40.8529</v>
      </c>
      <c r="Q18" s="17" t="n">
        <f aca="false">P18/(1+J18/100+L18/100*K18/100)</f>
        <v>37.113897509321</v>
      </c>
      <c r="R18" s="16" t="n">
        <v>1</v>
      </c>
      <c r="S18" s="16" t="n">
        <v>1</v>
      </c>
      <c r="T18" s="6" t="s">
        <v>137</v>
      </c>
    </row>
    <row r="19" customFormat="false" ht="15" hidden="false" customHeight="true" outlineLevel="0" collapsed="false">
      <c r="A19" s="16" t="s">
        <v>13</v>
      </c>
      <c r="B19" s="16" t="s">
        <v>14</v>
      </c>
      <c r="C19" s="16" t="s">
        <v>129</v>
      </c>
      <c r="D19" s="16" t="s">
        <v>130</v>
      </c>
      <c r="E19" s="16" t="s">
        <v>141</v>
      </c>
      <c r="F19" s="16" t="s">
        <v>132</v>
      </c>
      <c r="G19" s="16" t="s">
        <v>136</v>
      </c>
      <c r="H19" s="16" t="s">
        <v>140</v>
      </c>
      <c r="I19" s="17" t="n">
        <v>25.5</v>
      </c>
      <c r="J19" s="17" t="n">
        <v>2.39</v>
      </c>
      <c r="K19" s="17" t="n">
        <v>2.2</v>
      </c>
      <c r="L19" s="17" t="n">
        <v>67.4</v>
      </c>
      <c r="M19" s="17" t="n">
        <v>4.4</v>
      </c>
      <c r="N19" s="17" t="n">
        <v>16.3</v>
      </c>
      <c r="O19" s="17" t="n">
        <v>0</v>
      </c>
      <c r="P19" s="17" t="n">
        <f aca="false">I19*(1+M19/100+N19/100+O19/100)+J19+L19/100*K19</f>
        <v>34.6513</v>
      </c>
      <c r="Q19" s="17" t="n">
        <f aca="false">P19/(1+J19/100+L19/100*K19/100)</f>
        <v>33.3593587541686</v>
      </c>
      <c r="R19" s="16" t="n">
        <v>1</v>
      </c>
      <c r="S19" s="16" t="n">
        <v>1</v>
      </c>
      <c r="T19" s="6" t="s">
        <v>142</v>
      </c>
    </row>
    <row r="20" customFormat="false" ht="15" hidden="false" customHeight="true" outlineLevel="0" collapsed="false">
      <c r="A20" s="16" t="s">
        <v>13</v>
      </c>
      <c r="B20" s="16" t="s">
        <v>14</v>
      </c>
      <c r="C20" s="16" t="s">
        <v>129</v>
      </c>
      <c r="D20" s="16" t="s">
        <v>130</v>
      </c>
      <c r="E20" s="16" t="s">
        <v>141</v>
      </c>
      <c r="F20" s="16" t="s">
        <v>138</v>
      </c>
      <c r="G20" s="16" t="s">
        <v>136</v>
      </c>
      <c r="H20" s="16" t="s">
        <v>140</v>
      </c>
      <c r="I20" s="17" t="n">
        <v>25.5</v>
      </c>
      <c r="J20" s="17" t="n">
        <v>3.475</v>
      </c>
      <c r="K20" s="17" t="n">
        <v>3.2</v>
      </c>
      <c r="L20" s="17" t="n">
        <v>67.4</v>
      </c>
      <c r="M20" s="17" t="n">
        <v>4.4</v>
      </c>
      <c r="N20" s="17" t="n">
        <v>16.3</v>
      </c>
      <c r="O20" s="17" t="n">
        <v>0</v>
      </c>
      <c r="P20" s="17" t="n">
        <f aca="false">I20*(1+M20/100+N20/100+O20/100)+J20+L20/100*K20</f>
        <v>36.4103</v>
      </c>
      <c r="Q20" s="17" t="n">
        <f aca="false">P20/(1+J20/100+L20/100*K20/100)</f>
        <v>34.469070866917</v>
      </c>
      <c r="R20" s="16" t="n">
        <v>1</v>
      </c>
      <c r="S20" s="16" t="n">
        <v>1</v>
      </c>
      <c r="T20" s="6" t="s">
        <v>142</v>
      </c>
    </row>
    <row r="21" customFormat="false" ht="15" hidden="false" customHeight="true" outlineLevel="0" collapsed="false">
      <c r="A21" s="16" t="s">
        <v>13</v>
      </c>
      <c r="B21" s="16" t="s">
        <v>14</v>
      </c>
      <c r="C21" s="16" t="s">
        <v>129</v>
      </c>
      <c r="D21" s="16" t="s">
        <v>130</v>
      </c>
      <c r="E21" s="16" t="s">
        <v>141</v>
      </c>
      <c r="F21" s="16" t="s">
        <v>139</v>
      </c>
      <c r="G21" s="16" t="s">
        <v>136</v>
      </c>
      <c r="H21" s="16" t="s">
        <v>140</v>
      </c>
      <c r="I21" s="17" t="n">
        <v>25.5</v>
      </c>
      <c r="J21" s="17" t="n">
        <v>4.66</v>
      </c>
      <c r="K21" s="17" t="n">
        <v>4.3</v>
      </c>
      <c r="L21" s="17" t="n">
        <v>67.4</v>
      </c>
      <c r="M21" s="17" t="n">
        <v>4.4</v>
      </c>
      <c r="N21" s="17" t="n">
        <v>16.3</v>
      </c>
      <c r="O21" s="17" t="n">
        <v>0</v>
      </c>
      <c r="P21" s="17" t="n">
        <f aca="false">I21*(1+M21/100+N21/100+O21/100)+J21+L21/100*K21</f>
        <v>38.3367</v>
      </c>
      <c r="Q21" s="17" t="n">
        <f aca="false">P21/(1+J21/100+L21/100*K21/100)</f>
        <v>35.6427496927245</v>
      </c>
      <c r="R21" s="16" t="n">
        <v>1</v>
      </c>
      <c r="S21" s="16" t="n">
        <v>1</v>
      </c>
      <c r="T21" s="6" t="s">
        <v>142</v>
      </c>
    </row>
    <row r="22" customFormat="false" ht="23.25" hidden="false" customHeight="true" outlineLevel="0" collapsed="false">
      <c r="A22" s="16" t="s">
        <v>13</v>
      </c>
      <c r="B22" s="16" t="s">
        <v>14</v>
      </c>
      <c r="C22" s="16" t="s">
        <v>143</v>
      </c>
      <c r="D22" s="16" t="s">
        <v>144</v>
      </c>
      <c r="E22" s="16" t="s">
        <v>131</v>
      </c>
      <c r="F22" s="16" t="s">
        <v>145</v>
      </c>
      <c r="G22" s="16" t="s">
        <v>133</v>
      </c>
      <c r="H22" s="16" t="s">
        <v>146</v>
      </c>
      <c r="I22" s="17" t="n">
        <v>15</v>
      </c>
      <c r="J22" s="17" t="n">
        <v>6.7</v>
      </c>
      <c r="K22" s="17" t="n">
        <v>6.7</v>
      </c>
      <c r="L22" s="17" t="n">
        <v>43.2</v>
      </c>
      <c r="M22" s="17" t="n">
        <v>4.4</v>
      </c>
      <c r="N22" s="17" t="n">
        <v>16.3</v>
      </c>
      <c r="O22" s="17" t="n">
        <v>0</v>
      </c>
      <c r="P22" s="17" t="n">
        <f aca="false">I22*(1+M22/100+N22/100+O22/100)+J22+L22/100*K22</f>
        <v>27.6994</v>
      </c>
      <c r="Q22" s="17" t="n">
        <f aca="false">P22/(1+J22/100+L22/100*K22/100)</f>
        <v>25.2744665785843</v>
      </c>
      <c r="R22" s="16" t="n">
        <v>0</v>
      </c>
      <c r="S22" s="16" t="n">
        <v>1</v>
      </c>
      <c r="T22" s="6" t="s">
        <v>147</v>
      </c>
    </row>
    <row r="23" customFormat="false" ht="23.25" hidden="false" customHeight="true" outlineLevel="0" collapsed="false">
      <c r="A23" s="16" t="s">
        <v>13</v>
      </c>
      <c r="B23" s="16" t="s">
        <v>14</v>
      </c>
      <c r="C23" s="16" t="s">
        <v>143</v>
      </c>
      <c r="D23" s="16" t="s">
        <v>144</v>
      </c>
      <c r="E23" s="16" t="s">
        <v>131</v>
      </c>
      <c r="F23" s="16" t="s">
        <v>145</v>
      </c>
      <c r="G23" s="16" t="s">
        <v>136</v>
      </c>
      <c r="H23" s="16" t="s">
        <v>146</v>
      </c>
      <c r="I23" s="17" t="n">
        <v>15</v>
      </c>
      <c r="J23" s="17" t="n">
        <v>7.18</v>
      </c>
      <c r="K23" s="17" t="n">
        <v>6.7</v>
      </c>
      <c r="L23" s="17" t="n">
        <v>43.2</v>
      </c>
      <c r="M23" s="17" t="n">
        <v>4.4</v>
      </c>
      <c r="N23" s="17" t="n">
        <v>16.3</v>
      </c>
      <c r="O23" s="17" t="n">
        <v>0</v>
      </c>
      <c r="P23" s="17" t="n">
        <f aca="false">I23*(1+M23/100+N23/100+O23/100)+J23+L23/100*K23</f>
        <v>28.1794</v>
      </c>
      <c r="Q23" s="17" t="n">
        <f aca="false">P23/(1+J23/100+L23/100*K23/100)</f>
        <v>25.6003212372722</v>
      </c>
      <c r="R23" s="16" t="n">
        <v>0</v>
      </c>
      <c r="S23" s="16" t="n">
        <v>1</v>
      </c>
      <c r="T23" s="6" t="s">
        <v>147</v>
      </c>
    </row>
    <row r="24" customFormat="false" ht="15" hidden="false" customHeight="true" outlineLevel="0" collapsed="false">
      <c r="A24" s="16" t="s">
        <v>16</v>
      </c>
      <c r="B24" s="16" t="s">
        <v>17</v>
      </c>
      <c r="C24" s="16" t="s">
        <v>129</v>
      </c>
      <c r="D24" s="16" t="s">
        <v>130</v>
      </c>
      <c r="E24" s="16" t="s">
        <v>131</v>
      </c>
      <c r="F24" s="16" t="s">
        <v>132</v>
      </c>
      <c r="G24" s="16" t="s">
        <v>133</v>
      </c>
      <c r="H24" s="16" t="s">
        <v>134</v>
      </c>
      <c r="I24" s="17" t="n">
        <v>15</v>
      </c>
      <c r="J24" s="17" t="n">
        <v>3.4</v>
      </c>
      <c r="K24" s="17" t="n">
        <v>3.4</v>
      </c>
      <c r="L24" s="17" t="n">
        <v>43.2</v>
      </c>
      <c r="M24" s="17" t="n">
        <v>4.4</v>
      </c>
      <c r="N24" s="17" t="n">
        <v>16.3</v>
      </c>
      <c r="O24" s="17" t="n">
        <v>0</v>
      </c>
      <c r="P24" s="17" t="n">
        <f aca="false">I24*(1+M24/100+N24/100+O24/100)+J24+L24/100*K24</f>
        <v>22.9738</v>
      </c>
      <c r="Q24" s="17" t="n">
        <f aca="false">P24/(1+J24/100+L24/100*K24/100)</f>
        <v>21.9071830706559</v>
      </c>
      <c r="R24" s="16" t="n">
        <v>1</v>
      </c>
      <c r="S24" s="16" t="n">
        <v>1</v>
      </c>
      <c r="T24" s="6" t="s">
        <v>135</v>
      </c>
    </row>
    <row r="25" customFormat="false" ht="15" hidden="false" customHeight="true" outlineLevel="0" collapsed="false">
      <c r="A25" s="16" t="s">
        <v>16</v>
      </c>
      <c r="B25" s="16" t="s">
        <v>17</v>
      </c>
      <c r="C25" s="16" t="s">
        <v>129</v>
      </c>
      <c r="D25" s="16" t="s">
        <v>130</v>
      </c>
      <c r="E25" s="16" t="s">
        <v>131</v>
      </c>
      <c r="F25" s="16" t="s">
        <v>132</v>
      </c>
      <c r="G25" s="16" t="s">
        <v>136</v>
      </c>
      <c r="H25" s="16" t="s">
        <v>134</v>
      </c>
      <c r="I25" s="17" t="n">
        <v>15</v>
      </c>
      <c r="J25" s="17" t="n">
        <v>3.65</v>
      </c>
      <c r="K25" s="17" t="n">
        <v>3.4</v>
      </c>
      <c r="L25" s="17" t="n">
        <v>43.2</v>
      </c>
      <c r="M25" s="17" t="n">
        <v>4.4</v>
      </c>
      <c r="N25" s="17" t="n">
        <v>16.3</v>
      </c>
      <c r="O25" s="17" t="n">
        <v>0</v>
      </c>
      <c r="P25" s="17" t="n">
        <f aca="false">I25*(1+M25/100+N25/100+O25/100)+J25+L25/100*K25</f>
        <v>23.2238</v>
      </c>
      <c r="Q25" s="17" t="n">
        <f aca="false">P25/(1+J25/100+L25/100*K25/100)</f>
        <v>22.0929082143251</v>
      </c>
      <c r="R25" s="16" t="n">
        <v>1</v>
      </c>
      <c r="S25" s="16" t="n">
        <v>1</v>
      </c>
      <c r="T25" s="6" t="s">
        <v>137</v>
      </c>
    </row>
    <row r="26" customFormat="false" ht="15" hidden="false" customHeight="true" outlineLevel="0" collapsed="false">
      <c r="A26" s="16" t="s">
        <v>16</v>
      </c>
      <c r="B26" s="16" t="s">
        <v>17</v>
      </c>
      <c r="C26" s="16" t="s">
        <v>129</v>
      </c>
      <c r="D26" s="16" t="s">
        <v>130</v>
      </c>
      <c r="E26" s="16" t="s">
        <v>131</v>
      </c>
      <c r="F26" s="16" t="s">
        <v>138</v>
      </c>
      <c r="G26" s="16" t="s">
        <v>133</v>
      </c>
      <c r="H26" s="16" t="s">
        <v>134</v>
      </c>
      <c r="I26" s="17" t="n">
        <v>15</v>
      </c>
      <c r="J26" s="17" t="n">
        <v>5.1</v>
      </c>
      <c r="K26" s="17" t="n">
        <v>5.1</v>
      </c>
      <c r="L26" s="17" t="n">
        <v>43.2</v>
      </c>
      <c r="M26" s="17" t="n">
        <v>4.4</v>
      </c>
      <c r="N26" s="17" t="n">
        <v>16.3</v>
      </c>
      <c r="O26" s="17" t="n">
        <v>0</v>
      </c>
      <c r="P26" s="17" t="n">
        <f aca="false">I26*(1+M26/100+N26/100+O26/100)+J26+L26/100*K26</f>
        <v>25.4082</v>
      </c>
      <c r="Q26" s="17" t="n">
        <f aca="false">P26/(1+J26/100+L26/100*K26/100)</f>
        <v>23.6788837611553</v>
      </c>
      <c r="R26" s="16" t="n">
        <v>1</v>
      </c>
      <c r="S26" s="16" t="n">
        <v>1</v>
      </c>
      <c r="T26" s="6" t="s">
        <v>135</v>
      </c>
    </row>
    <row r="27" customFormat="false" ht="15" hidden="false" customHeight="true" outlineLevel="0" collapsed="false">
      <c r="A27" s="16" t="s">
        <v>16</v>
      </c>
      <c r="B27" s="16" t="s">
        <v>17</v>
      </c>
      <c r="C27" s="16" t="s">
        <v>129</v>
      </c>
      <c r="D27" s="16" t="s">
        <v>130</v>
      </c>
      <c r="E27" s="16" t="s">
        <v>131</v>
      </c>
      <c r="F27" s="16" t="s">
        <v>138</v>
      </c>
      <c r="G27" s="16" t="s">
        <v>136</v>
      </c>
      <c r="H27" s="16" t="s">
        <v>134</v>
      </c>
      <c r="I27" s="17" t="n">
        <v>15</v>
      </c>
      <c r="J27" s="17" t="n">
        <v>5.465</v>
      </c>
      <c r="K27" s="17" t="n">
        <v>5.1</v>
      </c>
      <c r="L27" s="17" t="n">
        <v>43.2</v>
      </c>
      <c r="M27" s="17" t="n">
        <v>4.4</v>
      </c>
      <c r="N27" s="17" t="n">
        <v>16.3</v>
      </c>
      <c r="O27" s="17" t="n">
        <v>0</v>
      </c>
      <c r="P27" s="17" t="n">
        <f aca="false">I27*(1+M27/100+N27/100+O27/100)+J27+L27/100*K27</f>
        <v>25.7732</v>
      </c>
      <c r="Q27" s="17" t="n">
        <f aca="false">P27/(1+J27/100+L27/100*K27/100)</f>
        <v>23.9376157491256</v>
      </c>
      <c r="R27" s="16" t="n">
        <v>1</v>
      </c>
      <c r="S27" s="16" t="n">
        <v>1</v>
      </c>
      <c r="T27" s="6" t="s">
        <v>137</v>
      </c>
    </row>
    <row r="28" customFormat="false" ht="15" hidden="false" customHeight="true" outlineLevel="0" collapsed="false">
      <c r="A28" s="16" t="s">
        <v>16</v>
      </c>
      <c r="B28" s="16" t="s">
        <v>17</v>
      </c>
      <c r="C28" s="16" t="s">
        <v>129</v>
      </c>
      <c r="D28" s="16" t="s">
        <v>130</v>
      </c>
      <c r="E28" s="16" t="s">
        <v>131</v>
      </c>
      <c r="F28" s="16" t="s">
        <v>139</v>
      </c>
      <c r="G28" s="16" t="s">
        <v>133</v>
      </c>
      <c r="H28" s="16" t="s">
        <v>140</v>
      </c>
      <c r="I28" s="17" t="n">
        <v>23.9</v>
      </c>
      <c r="J28" s="17" t="n">
        <v>6.7</v>
      </c>
      <c r="K28" s="17" t="n">
        <v>6.7</v>
      </c>
      <c r="L28" s="17" t="n">
        <v>43.2</v>
      </c>
      <c r="M28" s="17" t="n">
        <v>4.4</v>
      </c>
      <c r="N28" s="17" t="n">
        <v>16.3</v>
      </c>
      <c r="O28" s="17" t="n">
        <v>0</v>
      </c>
      <c r="P28" s="17" t="n">
        <f aca="false">I28*(1+M28/100+N28/100+O28/100)+J28+L28/100*K28</f>
        <v>38.4417</v>
      </c>
      <c r="Q28" s="17" t="n">
        <f aca="false">P28/(1+J28/100+L28/100*K28/100)</f>
        <v>35.0763360171688</v>
      </c>
      <c r="R28" s="16" t="n">
        <v>1</v>
      </c>
      <c r="S28" s="16" t="n">
        <v>1</v>
      </c>
      <c r="T28" s="6" t="s">
        <v>135</v>
      </c>
    </row>
    <row r="29" customFormat="false" ht="15" hidden="false" customHeight="true" outlineLevel="0" collapsed="false">
      <c r="A29" s="16" t="s">
        <v>16</v>
      </c>
      <c r="B29" s="16" t="s">
        <v>17</v>
      </c>
      <c r="C29" s="16" t="s">
        <v>129</v>
      </c>
      <c r="D29" s="16" t="s">
        <v>130</v>
      </c>
      <c r="E29" s="16" t="s">
        <v>131</v>
      </c>
      <c r="F29" s="16" t="s">
        <v>139</v>
      </c>
      <c r="G29" s="16" t="s">
        <v>136</v>
      </c>
      <c r="H29" s="16" t="s">
        <v>140</v>
      </c>
      <c r="I29" s="17" t="n">
        <v>23.9</v>
      </c>
      <c r="J29" s="17" t="n">
        <v>7.18</v>
      </c>
      <c r="K29" s="17" t="n">
        <v>6.7</v>
      </c>
      <c r="L29" s="17" t="n">
        <v>43.2</v>
      </c>
      <c r="M29" s="17" t="n">
        <v>4.4</v>
      </c>
      <c r="N29" s="17" t="n">
        <v>16.3</v>
      </c>
      <c r="O29" s="17" t="n">
        <v>0</v>
      </c>
      <c r="P29" s="17" t="n">
        <f aca="false">I29*(1+M29/100+N29/100+O29/100)+J29+L29/100*K29</f>
        <v>38.9217</v>
      </c>
      <c r="Q29" s="17" t="n">
        <f aca="false">P29/(1+J29/100+L29/100*K29/100)</f>
        <v>35.3594477916754</v>
      </c>
      <c r="R29" s="16" t="n">
        <v>1</v>
      </c>
      <c r="S29" s="16" t="n">
        <v>1</v>
      </c>
      <c r="T29" s="6" t="s">
        <v>137</v>
      </c>
    </row>
    <row r="30" customFormat="false" ht="15" hidden="false" customHeight="true" outlineLevel="0" collapsed="false">
      <c r="A30" s="16" t="s">
        <v>16</v>
      </c>
      <c r="B30" s="16" t="s">
        <v>17</v>
      </c>
      <c r="C30" s="16" t="s">
        <v>129</v>
      </c>
      <c r="D30" s="16" t="s">
        <v>130</v>
      </c>
      <c r="E30" s="16" t="s">
        <v>141</v>
      </c>
      <c r="F30" s="16" t="s">
        <v>132</v>
      </c>
      <c r="G30" s="16" t="s">
        <v>136</v>
      </c>
      <c r="H30" s="16" t="s">
        <v>140</v>
      </c>
      <c r="I30" s="17" t="n">
        <v>23.9</v>
      </c>
      <c r="J30" s="17" t="n">
        <v>1.755</v>
      </c>
      <c r="K30" s="17" t="n">
        <v>1.6</v>
      </c>
      <c r="L30" s="17" t="n">
        <v>93.5</v>
      </c>
      <c r="M30" s="17" t="n">
        <v>4.4</v>
      </c>
      <c r="N30" s="17" t="n">
        <v>16.3</v>
      </c>
      <c r="O30" s="17" t="n">
        <v>0</v>
      </c>
      <c r="P30" s="17" t="n">
        <f aca="false">I30*(1+M30/100+N30/100+O30/100)+J30+L30/100*K30</f>
        <v>32.0983</v>
      </c>
      <c r="Q30" s="17" t="n">
        <f aca="false">P30/(1+J30/100+L30/100*K30/100)</f>
        <v>31.0876407976678</v>
      </c>
      <c r="R30" s="16" t="n">
        <v>1</v>
      </c>
      <c r="S30" s="16" t="n">
        <v>1</v>
      </c>
      <c r="T30" s="6" t="s">
        <v>142</v>
      </c>
    </row>
    <row r="31" customFormat="false" ht="15" hidden="false" customHeight="true" outlineLevel="0" collapsed="false">
      <c r="A31" s="16" t="s">
        <v>16</v>
      </c>
      <c r="B31" s="16" t="s">
        <v>17</v>
      </c>
      <c r="C31" s="16" t="s">
        <v>129</v>
      </c>
      <c r="D31" s="16" t="s">
        <v>130</v>
      </c>
      <c r="E31" s="16" t="s">
        <v>141</v>
      </c>
      <c r="F31" s="16" t="s">
        <v>138</v>
      </c>
      <c r="G31" s="16" t="s">
        <v>136</v>
      </c>
      <c r="H31" s="16" t="s">
        <v>140</v>
      </c>
      <c r="I31" s="17" t="n">
        <v>23.9</v>
      </c>
      <c r="J31" s="17" t="n">
        <v>2.53</v>
      </c>
      <c r="K31" s="17" t="n">
        <v>2.3</v>
      </c>
      <c r="L31" s="17" t="n">
        <v>93.5</v>
      </c>
      <c r="M31" s="17" t="n">
        <v>4.4</v>
      </c>
      <c r="N31" s="17" t="n">
        <v>16.3</v>
      </c>
      <c r="O31" s="17" t="n">
        <v>0</v>
      </c>
      <c r="P31" s="17" t="n">
        <f aca="false">I31*(1+M31/100+N31/100+O31/100)+J31+L31/100*K31</f>
        <v>33.5278</v>
      </c>
      <c r="Q31" s="17" t="n">
        <f aca="false">P31/(1+J31/100+L31/100*K31/100)</f>
        <v>32.0286968442069</v>
      </c>
      <c r="R31" s="16" t="n">
        <v>1</v>
      </c>
      <c r="S31" s="16" t="n">
        <v>1</v>
      </c>
      <c r="T31" s="6" t="s">
        <v>142</v>
      </c>
    </row>
    <row r="32" customFormat="false" ht="15" hidden="false" customHeight="true" outlineLevel="0" collapsed="false">
      <c r="A32" s="16" t="s">
        <v>16</v>
      </c>
      <c r="B32" s="16" t="s">
        <v>17</v>
      </c>
      <c r="C32" s="16" t="s">
        <v>129</v>
      </c>
      <c r="D32" s="16" t="s">
        <v>130</v>
      </c>
      <c r="E32" s="16" t="s">
        <v>141</v>
      </c>
      <c r="F32" s="16" t="s">
        <v>139</v>
      </c>
      <c r="G32" s="16" t="s">
        <v>136</v>
      </c>
      <c r="H32" s="16" t="s">
        <v>140</v>
      </c>
      <c r="I32" s="17" t="n">
        <v>23.9</v>
      </c>
      <c r="J32" s="17" t="n">
        <v>3.4</v>
      </c>
      <c r="K32" s="17" t="n">
        <v>3.1</v>
      </c>
      <c r="L32" s="17" t="n">
        <v>93.5</v>
      </c>
      <c r="M32" s="17" t="n">
        <v>4.4</v>
      </c>
      <c r="N32" s="17" t="n">
        <v>16.3</v>
      </c>
      <c r="O32" s="17" t="n">
        <v>0</v>
      </c>
      <c r="P32" s="17" t="n">
        <f aca="false">I32*(1+M32/100+N32/100+O32/100)+J32+L32/100*K32</f>
        <v>35.1458</v>
      </c>
      <c r="Q32" s="17" t="n">
        <f aca="false">P32/(1+J32/100+L32/100*K32/100)</f>
        <v>33.0633075725434</v>
      </c>
      <c r="R32" s="16" t="n">
        <v>1</v>
      </c>
      <c r="S32" s="16" t="n">
        <v>1</v>
      </c>
      <c r="T32" s="6" t="s">
        <v>142</v>
      </c>
    </row>
    <row r="33" customFormat="false" ht="23.25" hidden="false" customHeight="true" outlineLevel="0" collapsed="false">
      <c r="A33" s="16" t="s">
        <v>16</v>
      </c>
      <c r="B33" s="16" t="s">
        <v>17</v>
      </c>
      <c r="C33" s="16" t="s">
        <v>143</v>
      </c>
      <c r="D33" s="16" t="s">
        <v>144</v>
      </c>
      <c r="E33" s="16" t="s">
        <v>131</v>
      </c>
      <c r="F33" s="16" t="s">
        <v>145</v>
      </c>
      <c r="G33" s="16" t="s">
        <v>133</v>
      </c>
      <c r="H33" s="16" t="s">
        <v>146</v>
      </c>
      <c r="I33" s="17" t="n">
        <v>15</v>
      </c>
      <c r="J33" s="17" t="n">
        <v>6.7</v>
      </c>
      <c r="K33" s="17" t="n">
        <v>6.7</v>
      </c>
      <c r="L33" s="17" t="n">
        <v>43.2</v>
      </c>
      <c r="M33" s="17" t="n">
        <v>4.4</v>
      </c>
      <c r="N33" s="17" t="n">
        <v>16.3</v>
      </c>
      <c r="O33" s="17" t="n">
        <v>0</v>
      </c>
      <c r="P33" s="17" t="n">
        <f aca="false">I33*(1+M33/100+N33/100+O33/100)+J33+L33/100*K33</f>
        <v>27.6994</v>
      </c>
      <c r="Q33" s="17" t="n">
        <f aca="false">P33/(1+J33/100+L33/100*K33/100)</f>
        <v>25.2744665785843</v>
      </c>
      <c r="R33" s="16" t="n">
        <v>0</v>
      </c>
      <c r="S33" s="16" t="n">
        <v>1</v>
      </c>
      <c r="T33" s="6" t="s">
        <v>147</v>
      </c>
    </row>
    <row r="34" customFormat="false" ht="23.25" hidden="false" customHeight="true" outlineLevel="0" collapsed="false">
      <c r="A34" s="16" t="s">
        <v>16</v>
      </c>
      <c r="B34" s="16" t="s">
        <v>17</v>
      </c>
      <c r="C34" s="16" t="s">
        <v>143</v>
      </c>
      <c r="D34" s="16" t="s">
        <v>144</v>
      </c>
      <c r="E34" s="16" t="s">
        <v>131</v>
      </c>
      <c r="F34" s="16" t="s">
        <v>145</v>
      </c>
      <c r="G34" s="16" t="s">
        <v>136</v>
      </c>
      <c r="H34" s="16" t="s">
        <v>146</v>
      </c>
      <c r="I34" s="17" t="n">
        <v>15</v>
      </c>
      <c r="J34" s="17" t="n">
        <v>7.18</v>
      </c>
      <c r="K34" s="17" t="n">
        <v>6.7</v>
      </c>
      <c r="L34" s="17" t="n">
        <v>43.2</v>
      </c>
      <c r="M34" s="17" t="n">
        <v>4.4</v>
      </c>
      <c r="N34" s="17" t="n">
        <v>16.3</v>
      </c>
      <c r="O34" s="17" t="n">
        <v>0</v>
      </c>
      <c r="P34" s="17" t="n">
        <f aca="false">I34*(1+M34/100+N34/100+O34/100)+J34+L34/100*K34</f>
        <v>28.1794</v>
      </c>
      <c r="Q34" s="17" t="n">
        <f aca="false">P34/(1+J34/100+L34/100*K34/100)</f>
        <v>25.6003212372722</v>
      </c>
      <c r="R34" s="16" t="n">
        <v>0</v>
      </c>
      <c r="S34" s="16" t="n">
        <v>1</v>
      </c>
      <c r="T34" s="6" t="s">
        <v>147</v>
      </c>
    </row>
    <row r="35" customFormat="false" ht="15" hidden="false" customHeight="true" outlineLevel="0" collapsed="false">
      <c r="A35" s="16" t="s">
        <v>19</v>
      </c>
      <c r="B35" s="16" t="s">
        <v>20</v>
      </c>
      <c r="C35" s="16" t="s">
        <v>129</v>
      </c>
      <c r="D35" s="16" t="s">
        <v>130</v>
      </c>
      <c r="E35" s="16" t="s">
        <v>131</v>
      </c>
      <c r="F35" s="16" t="s">
        <v>132</v>
      </c>
      <c r="G35" s="16" t="s">
        <v>133</v>
      </c>
      <c r="H35" s="16" t="s">
        <v>134</v>
      </c>
      <c r="I35" s="17" t="n">
        <v>15</v>
      </c>
      <c r="J35" s="17" t="n">
        <v>3.4</v>
      </c>
      <c r="K35" s="17" t="n">
        <v>3.4</v>
      </c>
      <c r="L35" s="17" t="n">
        <v>43.2</v>
      </c>
      <c r="M35" s="17" t="n">
        <v>4.4</v>
      </c>
      <c r="N35" s="17" t="n">
        <v>16.3</v>
      </c>
      <c r="O35" s="17" t="n">
        <v>0</v>
      </c>
      <c r="P35" s="17" t="n">
        <f aca="false">I35*(1+M35/100+N35/100+O35/100)+J35+L35/100*K35</f>
        <v>22.9738</v>
      </c>
      <c r="Q35" s="17" t="n">
        <f aca="false">P35/(1+J35/100+L35/100*K35/100)</f>
        <v>21.9071830706559</v>
      </c>
      <c r="R35" s="16" t="n">
        <v>1</v>
      </c>
      <c r="S35" s="16" t="n">
        <v>1</v>
      </c>
      <c r="T35" s="6" t="s">
        <v>135</v>
      </c>
    </row>
    <row r="36" customFormat="false" ht="15" hidden="false" customHeight="true" outlineLevel="0" collapsed="false">
      <c r="A36" s="16" t="s">
        <v>19</v>
      </c>
      <c r="B36" s="16" t="s">
        <v>20</v>
      </c>
      <c r="C36" s="16" t="s">
        <v>129</v>
      </c>
      <c r="D36" s="16" t="s">
        <v>130</v>
      </c>
      <c r="E36" s="16" t="s">
        <v>131</v>
      </c>
      <c r="F36" s="16" t="s">
        <v>132</v>
      </c>
      <c r="G36" s="16" t="s">
        <v>136</v>
      </c>
      <c r="H36" s="16" t="s">
        <v>134</v>
      </c>
      <c r="I36" s="17" t="n">
        <v>15</v>
      </c>
      <c r="J36" s="17" t="n">
        <v>3.65</v>
      </c>
      <c r="K36" s="17" t="n">
        <v>3.4</v>
      </c>
      <c r="L36" s="17" t="n">
        <v>43.2</v>
      </c>
      <c r="M36" s="17" t="n">
        <v>4.4</v>
      </c>
      <c r="N36" s="17" t="n">
        <v>16.3</v>
      </c>
      <c r="O36" s="17" t="n">
        <v>0</v>
      </c>
      <c r="P36" s="17" t="n">
        <f aca="false">I36*(1+M36/100+N36/100+O36/100)+J36+L36/100*K36</f>
        <v>23.2238</v>
      </c>
      <c r="Q36" s="17" t="n">
        <f aca="false">P36/(1+J36/100+L36/100*K36/100)</f>
        <v>22.0929082143251</v>
      </c>
      <c r="R36" s="16" t="n">
        <v>1</v>
      </c>
      <c r="S36" s="16" t="n">
        <v>1</v>
      </c>
      <c r="T36" s="6" t="s">
        <v>137</v>
      </c>
    </row>
    <row r="37" customFormat="false" ht="15" hidden="false" customHeight="true" outlineLevel="0" collapsed="false">
      <c r="A37" s="16" t="s">
        <v>19</v>
      </c>
      <c r="B37" s="16" t="s">
        <v>20</v>
      </c>
      <c r="C37" s="16" t="s">
        <v>129</v>
      </c>
      <c r="D37" s="16" t="s">
        <v>130</v>
      </c>
      <c r="E37" s="16" t="s">
        <v>131</v>
      </c>
      <c r="F37" s="16" t="s">
        <v>138</v>
      </c>
      <c r="G37" s="16" t="s">
        <v>133</v>
      </c>
      <c r="H37" s="16" t="s">
        <v>134</v>
      </c>
      <c r="I37" s="17" t="n">
        <v>15</v>
      </c>
      <c r="J37" s="17" t="n">
        <v>5.1</v>
      </c>
      <c r="K37" s="17" t="n">
        <v>5.1</v>
      </c>
      <c r="L37" s="17" t="n">
        <v>43.2</v>
      </c>
      <c r="M37" s="17" t="n">
        <v>4.4</v>
      </c>
      <c r="N37" s="17" t="n">
        <v>16.3</v>
      </c>
      <c r="O37" s="17" t="n">
        <v>0</v>
      </c>
      <c r="P37" s="17" t="n">
        <f aca="false">I37*(1+M37/100+N37/100+O37/100)+J37+L37/100*K37</f>
        <v>25.4082</v>
      </c>
      <c r="Q37" s="17" t="n">
        <f aca="false">P37/(1+J37/100+L37/100*K37/100)</f>
        <v>23.6788837611553</v>
      </c>
      <c r="R37" s="16" t="n">
        <v>1</v>
      </c>
      <c r="S37" s="16" t="n">
        <v>1</v>
      </c>
      <c r="T37" s="6" t="s">
        <v>135</v>
      </c>
    </row>
    <row r="38" customFormat="false" ht="15" hidden="false" customHeight="true" outlineLevel="0" collapsed="false">
      <c r="A38" s="16" t="s">
        <v>19</v>
      </c>
      <c r="B38" s="16" t="s">
        <v>20</v>
      </c>
      <c r="C38" s="16" t="s">
        <v>129</v>
      </c>
      <c r="D38" s="16" t="s">
        <v>130</v>
      </c>
      <c r="E38" s="16" t="s">
        <v>131</v>
      </c>
      <c r="F38" s="16" t="s">
        <v>138</v>
      </c>
      <c r="G38" s="16" t="s">
        <v>136</v>
      </c>
      <c r="H38" s="16" t="s">
        <v>134</v>
      </c>
      <c r="I38" s="17" t="n">
        <v>15</v>
      </c>
      <c r="J38" s="17" t="n">
        <v>5.465</v>
      </c>
      <c r="K38" s="17" t="n">
        <v>5.1</v>
      </c>
      <c r="L38" s="17" t="n">
        <v>43.2</v>
      </c>
      <c r="M38" s="17" t="n">
        <v>4.4</v>
      </c>
      <c r="N38" s="17" t="n">
        <v>16.3</v>
      </c>
      <c r="O38" s="17" t="n">
        <v>0</v>
      </c>
      <c r="P38" s="17" t="n">
        <f aca="false">I38*(1+M38/100+N38/100+O38/100)+J38+L38/100*K38</f>
        <v>25.7732</v>
      </c>
      <c r="Q38" s="17" t="n">
        <f aca="false">P38/(1+J38/100+L38/100*K38/100)</f>
        <v>23.9376157491256</v>
      </c>
      <c r="R38" s="16" t="n">
        <v>1</v>
      </c>
      <c r="S38" s="16" t="n">
        <v>1</v>
      </c>
      <c r="T38" s="6" t="s">
        <v>137</v>
      </c>
    </row>
    <row r="39" customFormat="false" ht="15" hidden="false" customHeight="true" outlineLevel="0" collapsed="false">
      <c r="A39" s="16" t="s">
        <v>19</v>
      </c>
      <c r="B39" s="16" t="s">
        <v>20</v>
      </c>
      <c r="C39" s="16" t="s">
        <v>129</v>
      </c>
      <c r="D39" s="16" t="s">
        <v>130</v>
      </c>
      <c r="E39" s="16" t="s">
        <v>131</v>
      </c>
      <c r="F39" s="16" t="s">
        <v>139</v>
      </c>
      <c r="G39" s="16" t="s">
        <v>133</v>
      </c>
      <c r="H39" s="16" t="s">
        <v>140</v>
      </c>
      <c r="I39" s="17" t="n">
        <v>23.4</v>
      </c>
      <c r="J39" s="17" t="n">
        <v>6.7</v>
      </c>
      <c r="K39" s="17" t="n">
        <v>6.7</v>
      </c>
      <c r="L39" s="17" t="n">
        <v>43.2</v>
      </c>
      <c r="M39" s="17" t="n">
        <v>4.4</v>
      </c>
      <c r="N39" s="17" t="n">
        <v>16.3</v>
      </c>
      <c r="O39" s="17" t="n">
        <v>0</v>
      </c>
      <c r="P39" s="17" t="n">
        <f aca="false">I39*(1+M39/100+N39/100+O39/100)+J39+L39/100*K39</f>
        <v>37.8382</v>
      </c>
      <c r="Q39" s="17" t="n">
        <f aca="false">P39/(1+J39/100+L39/100*K39/100)</f>
        <v>34.5256691947764</v>
      </c>
      <c r="R39" s="16" t="n">
        <v>1</v>
      </c>
      <c r="S39" s="16" t="n">
        <v>1</v>
      </c>
      <c r="T39" s="6" t="s">
        <v>135</v>
      </c>
    </row>
    <row r="40" customFormat="false" ht="15" hidden="false" customHeight="true" outlineLevel="0" collapsed="false">
      <c r="A40" s="16" t="s">
        <v>19</v>
      </c>
      <c r="B40" s="16" t="s">
        <v>20</v>
      </c>
      <c r="C40" s="16" t="s">
        <v>129</v>
      </c>
      <c r="D40" s="16" t="s">
        <v>130</v>
      </c>
      <c r="E40" s="16" t="s">
        <v>131</v>
      </c>
      <c r="F40" s="16" t="s">
        <v>139</v>
      </c>
      <c r="G40" s="16" t="s">
        <v>136</v>
      </c>
      <c r="H40" s="16" t="s">
        <v>140</v>
      </c>
      <c r="I40" s="17" t="n">
        <v>23.4</v>
      </c>
      <c r="J40" s="17" t="n">
        <v>7.18</v>
      </c>
      <c r="K40" s="17" t="n">
        <v>6.7</v>
      </c>
      <c r="L40" s="17" t="n">
        <v>43.2</v>
      </c>
      <c r="M40" s="17" t="n">
        <v>4.4</v>
      </c>
      <c r="N40" s="17" t="n">
        <v>16.3</v>
      </c>
      <c r="O40" s="17" t="n">
        <v>0</v>
      </c>
      <c r="P40" s="17" t="n">
        <f aca="false">I40*(1+M40/100+N40/100+O40/100)+J40+L40/100*K40</f>
        <v>38.3182</v>
      </c>
      <c r="Q40" s="17" t="n">
        <f aca="false">P40/(1+J40/100+L40/100*K40/100)</f>
        <v>34.8111822549112</v>
      </c>
      <c r="R40" s="16" t="n">
        <v>1</v>
      </c>
      <c r="S40" s="16" t="n">
        <v>1</v>
      </c>
      <c r="T40" s="6" t="s">
        <v>137</v>
      </c>
    </row>
    <row r="41" customFormat="false" ht="15" hidden="false" customHeight="true" outlineLevel="0" collapsed="false">
      <c r="A41" s="16" t="s">
        <v>19</v>
      </c>
      <c r="B41" s="16" t="s">
        <v>20</v>
      </c>
      <c r="C41" s="16" t="s">
        <v>129</v>
      </c>
      <c r="D41" s="16" t="s">
        <v>130</v>
      </c>
      <c r="E41" s="16" t="s">
        <v>141</v>
      </c>
      <c r="F41" s="16" t="s">
        <v>132</v>
      </c>
      <c r="G41" s="16" t="s">
        <v>136</v>
      </c>
      <c r="H41" s="16" t="s">
        <v>140</v>
      </c>
      <c r="I41" s="17" t="n">
        <v>23.4</v>
      </c>
      <c r="J41" s="17" t="n">
        <v>0.395</v>
      </c>
      <c r="K41" s="17" t="n">
        <v>0.3</v>
      </c>
      <c r="L41" s="17" t="n">
        <v>414.2</v>
      </c>
      <c r="M41" s="17" t="n">
        <v>4.4</v>
      </c>
      <c r="N41" s="17" t="n">
        <v>16.3</v>
      </c>
      <c r="O41" s="17" t="n">
        <v>0</v>
      </c>
      <c r="P41" s="17" t="n">
        <f aca="false">I41*(1+M41/100+N41/100+O41/100)+J41+L41/100*K41</f>
        <v>29.8814</v>
      </c>
      <c r="Q41" s="17" t="n">
        <f aca="false">P41/(1+J41/100+L41/100*K41/100)</f>
        <v>29.3999464765008</v>
      </c>
      <c r="R41" s="16" t="n">
        <v>1</v>
      </c>
      <c r="S41" s="16" t="n">
        <v>1</v>
      </c>
      <c r="T41" s="6" t="s">
        <v>142</v>
      </c>
    </row>
    <row r="42" customFormat="false" ht="15" hidden="false" customHeight="true" outlineLevel="0" collapsed="false">
      <c r="A42" s="16" t="s">
        <v>19</v>
      </c>
      <c r="B42" s="16" t="s">
        <v>20</v>
      </c>
      <c r="C42" s="16" t="s">
        <v>129</v>
      </c>
      <c r="D42" s="16" t="s">
        <v>130</v>
      </c>
      <c r="E42" s="16" t="s">
        <v>141</v>
      </c>
      <c r="F42" s="16" t="s">
        <v>138</v>
      </c>
      <c r="G42" s="16" t="s">
        <v>136</v>
      </c>
      <c r="H42" s="16" t="s">
        <v>140</v>
      </c>
      <c r="I42" s="17" t="n">
        <v>23.4</v>
      </c>
      <c r="J42" s="17" t="n">
        <v>0.635</v>
      </c>
      <c r="K42" s="17" t="n">
        <v>0.5</v>
      </c>
      <c r="L42" s="17" t="n">
        <v>414.2</v>
      </c>
      <c r="M42" s="17" t="n">
        <v>4.4</v>
      </c>
      <c r="N42" s="17" t="n">
        <v>16.3</v>
      </c>
      <c r="O42" s="17" t="n">
        <v>0</v>
      </c>
      <c r="P42" s="17" t="n">
        <f aca="false">I42*(1+M42/100+N42/100+O42/100)+J42+L42/100*K42</f>
        <v>30.9498</v>
      </c>
      <c r="Q42" s="17" t="n">
        <f aca="false">P42/(1+J42/100+L42/100*K42/100)</f>
        <v>30.1343641072576</v>
      </c>
      <c r="R42" s="16" t="n">
        <v>1</v>
      </c>
      <c r="S42" s="16" t="n">
        <v>1</v>
      </c>
      <c r="T42" s="6" t="s">
        <v>142</v>
      </c>
    </row>
    <row r="43" customFormat="false" ht="15" hidden="false" customHeight="true" outlineLevel="0" collapsed="false">
      <c r="A43" s="16" t="s">
        <v>19</v>
      </c>
      <c r="B43" s="16" t="s">
        <v>20</v>
      </c>
      <c r="C43" s="16" t="s">
        <v>129</v>
      </c>
      <c r="D43" s="16" t="s">
        <v>130</v>
      </c>
      <c r="E43" s="16" t="s">
        <v>141</v>
      </c>
      <c r="F43" s="16" t="s">
        <v>139</v>
      </c>
      <c r="G43" s="16" t="s">
        <v>136</v>
      </c>
      <c r="H43" s="16" t="s">
        <v>140</v>
      </c>
      <c r="I43" s="17" t="n">
        <v>23.4</v>
      </c>
      <c r="J43" s="17" t="n">
        <v>0.88</v>
      </c>
      <c r="K43" s="17" t="n">
        <v>0.7</v>
      </c>
      <c r="L43" s="17" t="n">
        <v>414.2</v>
      </c>
      <c r="M43" s="17" t="n">
        <v>4.4</v>
      </c>
      <c r="N43" s="17" t="n">
        <v>16.3</v>
      </c>
      <c r="O43" s="17" t="n">
        <v>0</v>
      </c>
      <c r="P43" s="17" t="n">
        <f aca="false">I43*(1+M43/100+N43/100+O43/100)+J43+L43/100*K43</f>
        <v>32.0232</v>
      </c>
      <c r="Q43" s="17" t="n">
        <f aca="false">P43/(1+J43/100+L43/100*K43/100)</f>
        <v>30.856990886438</v>
      </c>
      <c r="R43" s="16" t="n">
        <v>1</v>
      </c>
      <c r="S43" s="16" t="n">
        <v>1</v>
      </c>
      <c r="T43" s="6" t="s">
        <v>142</v>
      </c>
    </row>
    <row r="44" customFormat="false" ht="23.25" hidden="false" customHeight="true" outlineLevel="0" collapsed="false">
      <c r="A44" s="16" t="s">
        <v>19</v>
      </c>
      <c r="B44" s="16" t="s">
        <v>20</v>
      </c>
      <c r="C44" s="16" t="s">
        <v>143</v>
      </c>
      <c r="D44" s="16" t="s">
        <v>144</v>
      </c>
      <c r="E44" s="16" t="s">
        <v>131</v>
      </c>
      <c r="F44" s="16" t="s">
        <v>145</v>
      </c>
      <c r="G44" s="16" t="s">
        <v>133</v>
      </c>
      <c r="H44" s="16" t="s">
        <v>146</v>
      </c>
      <c r="I44" s="17" t="n">
        <v>15</v>
      </c>
      <c r="J44" s="17" t="n">
        <v>6.7</v>
      </c>
      <c r="K44" s="17" t="n">
        <v>6.7</v>
      </c>
      <c r="L44" s="17" t="n">
        <v>43.2</v>
      </c>
      <c r="M44" s="17" t="n">
        <v>4.4</v>
      </c>
      <c r="N44" s="17" t="n">
        <v>16.3</v>
      </c>
      <c r="O44" s="17" t="n">
        <v>0</v>
      </c>
      <c r="P44" s="17" t="n">
        <f aca="false">I44*(1+M44/100+N44/100+O44/100)+J44+L44/100*K44</f>
        <v>27.6994</v>
      </c>
      <c r="Q44" s="17" t="n">
        <f aca="false">P44/(1+J44/100+L44/100*K44/100)</f>
        <v>25.2744665785843</v>
      </c>
      <c r="R44" s="16" t="n">
        <v>0</v>
      </c>
      <c r="S44" s="16" t="n">
        <v>1</v>
      </c>
      <c r="T44" s="6" t="s">
        <v>147</v>
      </c>
    </row>
    <row r="45" customFormat="false" ht="23.25" hidden="false" customHeight="true" outlineLevel="0" collapsed="false">
      <c r="A45" s="16" t="s">
        <v>19</v>
      </c>
      <c r="B45" s="16" t="s">
        <v>20</v>
      </c>
      <c r="C45" s="16" t="s">
        <v>143</v>
      </c>
      <c r="D45" s="16" t="s">
        <v>144</v>
      </c>
      <c r="E45" s="16" t="s">
        <v>131</v>
      </c>
      <c r="F45" s="16" t="s">
        <v>145</v>
      </c>
      <c r="G45" s="16" t="s">
        <v>136</v>
      </c>
      <c r="H45" s="16" t="s">
        <v>146</v>
      </c>
      <c r="I45" s="17" t="n">
        <v>15</v>
      </c>
      <c r="J45" s="17" t="n">
        <v>7.18</v>
      </c>
      <c r="K45" s="17" t="n">
        <v>6.7</v>
      </c>
      <c r="L45" s="17" t="n">
        <v>43.2</v>
      </c>
      <c r="M45" s="17" t="n">
        <v>4.4</v>
      </c>
      <c r="N45" s="17" t="n">
        <v>16.3</v>
      </c>
      <c r="O45" s="17" t="n">
        <v>0</v>
      </c>
      <c r="P45" s="17" t="n">
        <f aca="false">I45*(1+M45/100+N45/100+O45/100)+J45+L45/100*K45</f>
        <v>28.1794</v>
      </c>
      <c r="Q45" s="17" t="n">
        <f aca="false">P45/(1+J45/100+L45/100*K45/100)</f>
        <v>25.6003212372722</v>
      </c>
      <c r="R45" s="16" t="n">
        <v>0</v>
      </c>
      <c r="S45" s="16" t="n">
        <v>1</v>
      </c>
      <c r="T45" s="6" t="s">
        <v>147</v>
      </c>
    </row>
    <row r="46" customFormat="false" ht="15" hidden="false" customHeight="true" outlineLevel="0" collapsed="false">
      <c r="A46" s="16" t="s">
        <v>22</v>
      </c>
      <c r="B46" s="16" t="s">
        <v>23</v>
      </c>
      <c r="C46" s="16" t="s">
        <v>129</v>
      </c>
      <c r="D46" s="16" t="s">
        <v>130</v>
      </c>
      <c r="E46" s="16" t="s">
        <v>131</v>
      </c>
      <c r="F46" s="16" t="s">
        <v>132</v>
      </c>
      <c r="G46" s="16" t="s">
        <v>133</v>
      </c>
      <c r="H46" s="16" t="s">
        <v>134</v>
      </c>
      <c r="I46" s="17" t="n">
        <v>15</v>
      </c>
      <c r="J46" s="17" t="n">
        <v>3.4</v>
      </c>
      <c r="K46" s="17" t="n">
        <v>3.4</v>
      </c>
      <c r="L46" s="17" t="n">
        <v>43.2</v>
      </c>
      <c r="M46" s="17" t="n">
        <v>4.4</v>
      </c>
      <c r="N46" s="17" t="n">
        <v>16.3</v>
      </c>
      <c r="O46" s="17" t="n">
        <v>0</v>
      </c>
      <c r="P46" s="17" t="n">
        <f aca="false">I46*(1+M46/100+N46/100+O46/100)+J46+L46/100*K46</f>
        <v>22.9738</v>
      </c>
      <c r="Q46" s="17" t="n">
        <f aca="false">P46/(1+J46/100+L46/100*K46/100)</f>
        <v>21.9071830706559</v>
      </c>
      <c r="R46" s="16" t="n">
        <v>1</v>
      </c>
      <c r="S46" s="16" t="n">
        <v>1</v>
      </c>
      <c r="T46" s="6" t="s">
        <v>135</v>
      </c>
    </row>
    <row r="47" customFormat="false" ht="15" hidden="false" customHeight="true" outlineLevel="0" collapsed="false">
      <c r="A47" s="16" t="s">
        <v>22</v>
      </c>
      <c r="B47" s="16" t="s">
        <v>23</v>
      </c>
      <c r="C47" s="16" t="s">
        <v>129</v>
      </c>
      <c r="D47" s="16" t="s">
        <v>130</v>
      </c>
      <c r="E47" s="16" t="s">
        <v>131</v>
      </c>
      <c r="F47" s="16" t="s">
        <v>132</v>
      </c>
      <c r="G47" s="16" t="s">
        <v>136</v>
      </c>
      <c r="H47" s="16" t="s">
        <v>134</v>
      </c>
      <c r="I47" s="17" t="n">
        <v>15</v>
      </c>
      <c r="J47" s="17" t="n">
        <v>3.65</v>
      </c>
      <c r="K47" s="17" t="n">
        <v>3.4</v>
      </c>
      <c r="L47" s="17" t="n">
        <v>43.2</v>
      </c>
      <c r="M47" s="17" t="n">
        <v>4.4</v>
      </c>
      <c r="N47" s="17" t="n">
        <v>16.3</v>
      </c>
      <c r="O47" s="17" t="n">
        <v>0</v>
      </c>
      <c r="P47" s="17" t="n">
        <f aca="false">I47*(1+M47/100+N47/100+O47/100)+J47+L47/100*K47</f>
        <v>23.2238</v>
      </c>
      <c r="Q47" s="17" t="n">
        <f aca="false">P47/(1+J47/100+L47/100*K47/100)</f>
        <v>22.0929082143251</v>
      </c>
      <c r="R47" s="16" t="n">
        <v>1</v>
      </c>
      <c r="S47" s="16" t="n">
        <v>1</v>
      </c>
      <c r="T47" s="6" t="s">
        <v>137</v>
      </c>
    </row>
    <row r="48" customFormat="false" ht="15" hidden="false" customHeight="true" outlineLevel="0" collapsed="false">
      <c r="A48" s="16" t="s">
        <v>22</v>
      </c>
      <c r="B48" s="16" t="s">
        <v>23</v>
      </c>
      <c r="C48" s="16" t="s">
        <v>129</v>
      </c>
      <c r="D48" s="16" t="s">
        <v>130</v>
      </c>
      <c r="E48" s="16" t="s">
        <v>131</v>
      </c>
      <c r="F48" s="16" t="s">
        <v>138</v>
      </c>
      <c r="G48" s="16" t="s">
        <v>133</v>
      </c>
      <c r="H48" s="16" t="s">
        <v>134</v>
      </c>
      <c r="I48" s="17" t="n">
        <v>15</v>
      </c>
      <c r="J48" s="17" t="n">
        <v>5.1</v>
      </c>
      <c r="K48" s="17" t="n">
        <v>5.1</v>
      </c>
      <c r="L48" s="17" t="n">
        <v>43.2</v>
      </c>
      <c r="M48" s="17" t="n">
        <v>4.4</v>
      </c>
      <c r="N48" s="17" t="n">
        <v>16.3</v>
      </c>
      <c r="O48" s="17" t="n">
        <v>0</v>
      </c>
      <c r="P48" s="17" t="n">
        <f aca="false">I48*(1+M48/100+N48/100+O48/100)+J48+L48/100*K48</f>
        <v>25.4082</v>
      </c>
      <c r="Q48" s="17" t="n">
        <f aca="false">P48/(1+J48/100+L48/100*K48/100)</f>
        <v>23.6788837611553</v>
      </c>
      <c r="R48" s="16" t="n">
        <v>1</v>
      </c>
      <c r="S48" s="16" t="n">
        <v>1</v>
      </c>
      <c r="T48" s="6" t="s">
        <v>135</v>
      </c>
    </row>
    <row r="49" customFormat="false" ht="15" hidden="false" customHeight="true" outlineLevel="0" collapsed="false">
      <c r="A49" s="16" t="s">
        <v>22</v>
      </c>
      <c r="B49" s="16" t="s">
        <v>23</v>
      </c>
      <c r="C49" s="16" t="s">
        <v>129</v>
      </c>
      <c r="D49" s="16" t="s">
        <v>130</v>
      </c>
      <c r="E49" s="16" t="s">
        <v>131</v>
      </c>
      <c r="F49" s="16" t="s">
        <v>138</v>
      </c>
      <c r="G49" s="16" t="s">
        <v>136</v>
      </c>
      <c r="H49" s="16" t="s">
        <v>134</v>
      </c>
      <c r="I49" s="17" t="n">
        <v>15</v>
      </c>
      <c r="J49" s="17" t="n">
        <v>5.465</v>
      </c>
      <c r="K49" s="17" t="n">
        <v>5.1</v>
      </c>
      <c r="L49" s="17" t="n">
        <v>43.2</v>
      </c>
      <c r="M49" s="17" t="n">
        <v>4.4</v>
      </c>
      <c r="N49" s="17" t="n">
        <v>16.3</v>
      </c>
      <c r="O49" s="17" t="n">
        <v>0</v>
      </c>
      <c r="P49" s="17" t="n">
        <f aca="false">I49*(1+M49/100+N49/100+O49/100)+J49+L49/100*K49</f>
        <v>25.7732</v>
      </c>
      <c r="Q49" s="17" t="n">
        <f aca="false">P49/(1+J49/100+L49/100*K49/100)</f>
        <v>23.9376157491256</v>
      </c>
      <c r="R49" s="16" t="n">
        <v>1</v>
      </c>
      <c r="S49" s="16" t="n">
        <v>1</v>
      </c>
      <c r="T49" s="6" t="s">
        <v>137</v>
      </c>
    </row>
    <row r="50" customFormat="false" ht="15" hidden="false" customHeight="true" outlineLevel="0" collapsed="false">
      <c r="A50" s="16" t="s">
        <v>22</v>
      </c>
      <c r="B50" s="16" t="s">
        <v>23</v>
      </c>
      <c r="C50" s="16" t="s">
        <v>129</v>
      </c>
      <c r="D50" s="16" t="s">
        <v>130</v>
      </c>
      <c r="E50" s="16" t="s">
        <v>131</v>
      </c>
      <c r="F50" s="16" t="s">
        <v>139</v>
      </c>
      <c r="G50" s="16" t="s">
        <v>133</v>
      </c>
      <c r="H50" s="16" t="s">
        <v>140</v>
      </c>
      <c r="I50" s="17" t="n">
        <v>23.4</v>
      </c>
      <c r="J50" s="17" t="n">
        <v>6.7</v>
      </c>
      <c r="K50" s="17" t="n">
        <v>6.7</v>
      </c>
      <c r="L50" s="17" t="n">
        <v>43.2</v>
      </c>
      <c r="M50" s="17" t="n">
        <v>4.4</v>
      </c>
      <c r="N50" s="17" t="n">
        <v>16.3</v>
      </c>
      <c r="O50" s="17" t="n">
        <v>0</v>
      </c>
      <c r="P50" s="17" t="n">
        <f aca="false">I50*(1+M50/100+N50/100+O50/100)+J50+L50/100*K50</f>
        <v>37.8382</v>
      </c>
      <c r="Q50" s="17" t="n">
        <f aca="false">P50/(1+J50/100+L50/100*K50/100)</f>
        <v>34.5256691947764</v>
      </c>
      <c r="R50" s="16" t="n">
        <v>1</v>
      </c>
      <c r="S50" s="16" t="n">
        <v>1</v>
      </c>
      <c r="T50" s="6" t="s">
        <v>135</v>
      </c>
    </row>
    <row r="51" customFormat="false" ht="15" hidden="false" customHeight="true" outlineLevel="0" collapsed="false">
      <c r="A51" s="16" t="s">
        <v>22</v>
      </c>
      <c r="B51" s="16" t="s">
        <v>23</v>
      </c>
      <c r="C51" s="16" t="s">
        <v>129</v>
      </c>
      <c r="D51" s="16" t="s">
        <v>130</v>
      </c>
      <c r="E51" s="16" t="s">
        <v>131</v>
      </c>
      <c r="F51" s="16" t="s">
        <v>139</v>
      </c>
      <c r="G51" s="16" t="s">
        <v>136</v>
      </c>
      <c r="H51" s="16" t="s">
        <v>140</v>
      </c>
      <c r="I51" s="17" t="n">
        <v>23.4</v>
      </c>
      <c r="J51" s="17" t="n">
        <v>7.18</v>
      </c>
      <c r="K51" s="17" t="n">
        <v>6.7</v>
      </c>
      <c r="L51" s="17" t="n">
        <v>43.2</v>
      </c>
      <c r="M51" s="17" t="n">
        <v>4.4</v>
      </c>
      <c r="N51" s="17" t="n">
        <v>16.3</v>
      </c>
      <c r="O51" s="17" t="n">
        <v>0</v>
      </c>
      <c r="P51" s="17" t="n">
        <f aca="false">I51*(1+M51/100+N51/100+O51/100)+J51+L51/100*K51</f>
        <v>38.3182</v>
      </c>
      <c r="Q51" s="17" t="n">
        <f aca="false">P51/(1+J51/100+L51/100*K51/100)</f>
        <v>34.8111822549112</v>
      </c>
      <c r="R51" s="16" t="n">
        <v>1</v>
      </c>
      <c r="S51" s="16" t="n">
        <v>1</v>
      </c>
      <c r="T51" s="6" t="s">
        <v>137</v>
      </c>
    </row>
    <row r="52" customFormat="false" ht="15" hidden="false" customHeight="true" outlineLevel="0" collapsed="false">
      <c r="A52" s="16" t="s">
        <v>22</v>
      </c>
      <c r="B52" s="16" t="s">
        <v>23</v>
      </c>
      <c r="C52" s="16" t="s">
        <v>129</v>
      </c>
      <c r="D52" s="16" t="s">
        <v>130</v>
      </c>
      <c r="E52" s="16" t="s">
        <v>141</v>
      </c>
      <c r="F52" s="16" t="s">
        <v>132</v>
      </c>
      <c r="G52" s="16" t="s">
        <v>136</v>
      </c>
      <c r="H52" s="16" t="s">
        <v>140</v>
      </c>
      <c r="I52" s="17" t="n">
        <v>23.4</v>
      </c>
      <c r="J52" s="17" t="n">
        <v>0.395</v>
      </c>
      <c r="K52" s="17" t="n">
        <v>0.3</v>
      </c>
      <c r="L52" s="17" t="n">
        <v>414.2</v>
      </c>
      <c r="M52" s="17" t="n">
        <v>4.4</v>
      </c>
      <c r="N52" s="17" t="n">
        <v>16.3</v>
      </c>
      <c r="O52" s="17" t="n">
        <v>0</v>
      </c>
      <c r="P52" s="17" t="n">
        <f aca="false">I52*(1+M52/100+N52/100+O52/100)+J52+L52/100*K52</f>
        <v>29.8814</v>
      </c>
      <c r="Q52" s="17" t="n">
        <f aca="false">P52/(1+J52/100+L52/100*K52/100)</f>
        <v>29.3999464765008</v>
      </c>
      <c r="R52" s="16" t="n">
        <v>1</v>
      </c>
      <c r="S52" s="16" t="n">
        <v>1</v>
      </c>
      <c r="T52" s="6" t="s">
        <v>142</v>
      </c>
    </row>
    <row r="53" customFormat="false" ht="15" hidden="false" customHeight="true" outlineLevel="0" collapsed="false">
      <c r="A53" s="16" t="s">
        <v>22</v>
      </c>
      <c r="B53" s="16" t="s">
        <v>23</v>
      </c>
      <c r="C53" s="16" t="s">
        <v>129</v>
      </c>
      <c r="D53" s="16" t="s">
        <v>130</v>
      </c>
      <c r="E53" s="16" t="s">
        <v>141</v>
      </c>
      <c r="F53" s="16" t="s">
        <v>138</v>
      </c>
      <c r="G53" s="16" t="s">
        <v>136</v>
      </c>
      <c r="H53" s="16" t="s">
        <v>140</v>
      </c>
      <c r="I53" s="17" t="n">
        <v>23.4</v>
      </c>
      <c r="J53" s="17" t="n">
        <v>0.635</v>
      </c>
      <c r="K53" s="17" t="n">
        <v>0.5</v>
      </c>
      <c r="L53" s="17" t="n">
        <v>414.2</v>
      </c>
      <c r="M53" s="17" t="n">
        <v>4.4</v>
      </c>
      <c r="N53" s="17" t="n">
        <v>16.3</v>
      </c>
      <c r="O53" s="17" t="n">
        <v>0</v>
      </c>
      <c r="P53" s="17" t="n">
        <f aca="false">I53*(1+M53/100+N53/100+O53/100)+J53+L53/100*K53</f>
        <v>30.9498</v>
      </c>
      <c r="Q53" s="17" t="n">
        <f aca="false">P53/(1+J53/100+L53/100*K53/100)</f>
        <v>30.1343641072576</v>
      </c>
      <c r="R53" s="16" t="n">
        <v>1</v>
      </c>
      <c r="S53" s="16" t="n">
        <v>1</v>
      </c>
      <c r="T53" s="6" t="s">
        <v>142</v>
      </c>
    </row>
    <row r="54" customFormat="false" ht="15" hidden="false" customHeight="true" outlineLevel="0" collapsed="false">
      <c r="A54" s="16" t="s">
        <v>22</v>
      </c>
      <c r="B54" s="16" t="s">
        <v>23</v>
      </c>
      <c r="C54" s="16" t="s">
        <v>129</v>
      </c>
      <c r="D54" s="16" t="s">
        <v>130</v>
      </c>
      <c r="E54" s="16" t="s">
        <v>141</v>
      </c>
      <c r="F54" s="16" t="s">
        <v>139</v>
      </c>
      <c r="G54" s="16" t="s">
        <v>136</v>
      </c>
      <c r="H54" s="16" t="s">
        <v>140</v>
      </c>
      <c r="I54" s="17" t="n">
        <v>23.4</v>
      </c>
      <c r="J54" s="17" t="n">
        <v>0.88</v>
      </c>
      <c r="K54" s="17" t="n">
        <v>0.7</v>
      </c>
      <c r="L54" s="17" t="n">
        <v>414.2</v>
      </c>
      <c r="M54" s="17" t="n">
        <v>4.4</v>
      </c>
      <c r="N54" s="17" t="n">
        <v>16.3</v>
      </c>
      <c r="O54" s="17" t="n">
        <v>0</v>
      </c>
      <c r="P54" s="17" t="n">
        <f aca="false">I54*(1+M54/100+N54/100+O54/100)+J54+L54/100*K54</f>
        <v>32.0232</v>
      </c>
      <c r="Q54" s="17" t="n">
        <f aca="false">P54/(1+J54/100+L54/100*K54/100)</f>
        <v>30.856990886438</v>
      </c>
      <c r="R54" s="16" t="n">
        <v>1</v>
      </c>
      <c r="S54" s="16" t="n">
        <v>1</v>
      </c>
      <c r="T54" s="6" t="s">
        <v>142</v>
      </c>
    </row>
    <row r="55" customFormat="false" ht="23.25" hidden="false" customHeight="true" outlineLevel="0" collapsed="false">
      <c r="A55" s="16" t="s">
        <v>22</v>
      </c>
      <c r="B55" s="16" t="s">
        <v>23</v>
      </c>
      <c r="C55" s="16" t="s">
        <v>143</v>
      </c>
      <c r="D55" s="16" t="s">
        <v>144</v>
      </c>
      <c r="E55" s="16" t="s">
        <v>131</v>
      </c>
      <c r="F55" s="16" t="s">
        <v>145</v>
      </c>
      <c r="G55" s="16" t="s">
        <v>133</v>
      </c>
      <c r="H55" s="16" t="s">
        <v>146</v>
      </c>
      <c r="I55" s="17" t="n">
        <v>15</v>
      </c>
      <c r="J55" s="17" t="n">
        <v>6.7</v>
      </c>
      <c r="K55" s="17" t="n">
        <v>6.7</v>
      </c>
      <c r="L55" s="17" t="n">
        <v>43.2</v>
      </c>
      <c r="M55" s="17" t="n">
        <v>4.4</v>
      </c>
      <c r="N55" s="17" t="n">
        <v>16.3</v>
      </c>
      <c r="O55" s="17" t="n">
        <v>0</v>
      </c>
      <c r="P55" s="17" t="n">
        <f aca="false">I55*(1+M55/100+N55/100+O55/100)+J55+L55/100*K55</f>
        <v>27.6994</v>
      </c>
      <c r="Q55" s="17" t="n">
        <f aca="false">P55/(1+J55/100+L55/100*K55/100)</f>
        <v>25.2744665785843</v>
      </c>
      <c r="R55" s="16" t="n">
        <v>0</v>
      </c>
      <c r="S55" s="16" t="n">
        <v>1</v>
      </c>
      <c r="T55" s="6" t="s">
        <v>147</v>
      </c>
    </row>
    <row r="56" customFormat="false" ht="23.25" hidden="false" customHeight="true" outlineLevel="0" collapsed="false">
      <c r="A56" s="16" t="s">
        <v>22</v>
      </c>
      <c r="B56" s="16" t="s">
        <v>23</v>
      </c>
      <c r="C56" s="16" t="s">
        <v>143</v>
      </c>
      <c r="D56" s="16" t="s">
        <v>144</v>
      </c>
      <c r="E56" s="16" t="s">
        <v>131</v>
      </c>
      <c r="F56" s="16" t="s">
        <v>145</v>
      </c>
      <c r="G56" s="16" t="s">
        <v>136</v>
      </c>
      <c r="H56" s="16" t="s">
        <v>146</v>
      </c>
      <c r="I56" s="17" t="n">
        <v>15</v>
      </c>
      <c r="J56" s="17" t="n">
        <v>7.18</v>
      </c>
      <c r="K56" s="17" t="n">
        <v>6.7</v>
      </c>
      <c r="L56" s="17" t="n">
        <v>43.2</v>
      </c>
      <c r="M56" s="17" t="n">
        <v>4.4</v>
      </c>
      <c r="N56" s="17" t="n">
        <v>16.3</v>
      </c>
      <c r="O56" s="17" t="n">
        <v>0</v>
      </c>
      <c r="P56" s="17" t="n">
        <f aca="false">I56*(1+M56/100+N56/100+O56/100)+J56+L56/100*K56</f>
        <v>28.1794</v>
      </c>
      <c r="Q56" s="17" t="n">
        <f aca="false">P56/(1+J56/100+L56/100*K56/100)</f>
        <v>25.6003212372722</v>
      </c>
      <c r="R56" s="16" t="n">
        <v>0</v>
      </c>
      <c r="S56" s="16" t="n">
        <v>1</v>
      </c>
      <c r="T56" s="6" t="s">
        <v>147</v>
      </c>
    </row>
    <row r="57" customFormat="false" ht="15" hidden="false" customHeight="true" outlineLevel="0" collapsed="false">
      <c r="A57" s="16" t="s">
        <v>25</v>
      </c>
      <c r="B57" s="16" t="s">
        <v>26</v>
      </c>
      <c r="C57" s="16" t="s">
        <v>129</v>
      </c>
      <c r="D57" s="16" t="s">
        <v>130</v>
      </c>
      <c r="E57" s="16" t="s">
        <v>131</v>
      </c>
      <c r="F57" s="16" t="s">
        <v>132</v>
      </c>
      <c r="G57" s="16" t="s">
        <v>133</v>
      </c>
      <c r="H57" s="16" t="s">
        <v>134</v>
      </c>
      <c r="I57" s="17" t="n">
        <v>15</v>
      </c>
      <c r="J57" s="17" t="n">
        <v>3.4</v>
      </c>
      <c r="K57" s="17" t="n">
        <v>3.4</v>
      </c>
      <c r="L57" s="17" t="n">
        <v>43.2</v>
      </c>
      <c r="M57" s="17" t="n">
        <v>4.4</v>
      </c>
      <c r="N57" s="17" t="n">
        <v>16.3</v>
      </c>
      <c r="O57" s="17" t="n">
        <v>0</v>
      </c>
      <c r="P57" s="17" t="n">
        <f aca="false">I57*(1+M57/100+N57/100+O57/100)+J57+L57/100*K57</f>
        <v>22.9738</v>
      </c>
      <c r="Q57" s="17" t="n">
        <f aca="false">P57/(1+J57/100+L57/100*K57/100)</f>
        <v>21.9071830706559</v>
      </c>
      <c r="R57" s="16" t="n">
        <v>1</v>
      </c>
      <c r="S57" s="16" t="n">
        <v>1</v>
      </c>
      <c r="T57" s="6" t="s">
        <v>135</v>
      </c>
    </row>
    <row r="58" customFormat="false" ht="15" hidden="false" customHeight="true" outlineLevel="0" collapsed="false">
      <c r="A58" s="16" t="s">
        <v>25</v>
      </c>
      <c r="B58" s="16" t="s">
        <v>26</v>
      </c>
      <c r="C58" s="16" t="s">
        <v>129</v>
      </c>
      <c r="D58" s="16" t="s">
        <v>130</v>
      </c>
      <c r="E58" s="16" t="s">
        <v>131</v>
      </c>
      <c r="F58" s="16" t="s">
        <v>132</v>
      </c>
      <c r="G58" s="16" t="s">
        <v>136</v>
      </c>
      <c r="H58" s="16" t="s">
        <v>134</v>
      </c>
      <c r="I58" s="17" t="n">
        <v>15</v>
      </c>
      <c r="J58" s="17" t="n">
        <v>3.65</v>
      </c>
      <c r="K58" s="17" t="n">
        <v>3.4</v>
      </c>
      <c r="L58" s="17" t="n">
        <v>43.2</v>
      </c>
      <c r="M58" s="17" t="n">
        <v>4.4</v>
      </c>
      <c r="N58" s="17" t="n">
        <v>16.3</v>
      </c>
      <c r="O58" s="17" t="n">
        <v>0</v>
      </c>
      <c r="P58" s="17" t="n">
        <f aca="false">I58*(1+M58/100+N58/100+O58/100)+J58+L58/100*K58</f>
        <v>23.2238</v>
      </c>
      <c r="Q58" s="17" t="n">
        <f aca="false">P58/(1+J58/100+L58/100*K58/100)</f>
        <v>22.0929082143251</v>
      </c>
      <c r="R58" s="16" t="n">
        <v>1</v>
      </c>
      <c r="S58" s="16" t="n">
        <v>1</v>
      </c>
      <c r="T58" s="6" t="s">
        <v>137</v>
      </c>
    </row>
    <row r="59" customFormat="false" ht="15" hidden="false" customHeight="true" outlineLevel="0" collapsed="false">
      <c r="A59" s="16" t="s">
        <v>25</v>
      </c>
      <c r="B59" s="16" t="s">
        <v>26</v>
      </c>
      <c r="C59" s="16" t="s">
        <v>129</v>
      </c>
      <c r="D59" s="16" t="s">
        <v>130</v>
      </c>
      <c r="E59" s="16" t="s">
        <v>131</v>
      </c>
      <c r="F59" s="16" t="s">
        <v>138</v>
      </c>
      <c r="G59" s="16" t="s">
        <v>133</v>
      </c>
      <c r="H59" s="16" t="s">
        <v>134</v>
      </c>
      <c r="I59" s="17" t="n">
        <v>15</v>
      </c>
      <c r="J59" s="17" t="n">
        <v>5.1</v>
      </c>
      <c r="K59" s="17" t="n">
        <v>5.1</v>
      </c>
      <c r="L59" s="17" t="n">
        <v>43.2</v>
      </c>
      <c r="M59" s="17" t="n">
        <v>4.4</v>
      </c>
      <c r="N59" s="17" t="n">
        <v>16.3</v>
      </c>
      <c r="O59" s="17" t="n">
        <v>0</v>
      </c>
      <c r="P59" s="17" t="n">
        <f aca="false">I59*(1+M59/100+N59/100+O59/100)+J59+L59/100*K59</f>
        <v>25.4082</v>
      </c>
      <c r="Q59" s="17" t="n">
        <f aca="false">P59/(1+J59/100+L59/100*K59/100)</f>
        <v>23.6788837611553</v>
      </c>
      <c r="R59" s="16" t="n">
        <v>1</v>
      </c>
      <c r="S59" s="16" t="n">
        <v>1</v>
      </c>
      <c r="T59" s="6" t="s">
        <v>135</v>
      </c>
    </row>
    <row r="60" customFormat="false" ht="15" hidden="false" customHeight="true" outlineLevel="0" collapsed="false">
      <c r="A60" s="16" t="s">
        <v>25</v>
      </c>
      <c r="B60" s="16" t="s">
        <v>26</v>
      </c>
      <c r="C60" s="16" t="s">
        <v>129</v>
      </c>
      <c r="D60" s="16" t="s">
        <v>130</v>
      </c>
      <c r="E60" s="16" t="s">
        <v>131</v>
      </c>
      <c r="F60" s="16" t="s">
        <v>138</v>
      </c>
      <c r="G60" s="16" t="s">
        <v>136</v>
      </c>
      <c r="H60" s="16" t="s">
        <v>134</v>
      </c>
      <c r="I60" s="17" t="n">
        <v>15</v>
      </c>
      <c r="J60" s="17" t="n">
        <v>5.465</v>
      </c>
      <c r="K60" s="17" t="n">
        <v>5.1</v>
      </c>
      <c r="L60" s="17" t="n">
        <v>43.2</v>
      </c>
      <c r="M60" s="17" t="n">
        <v>4.4</v>
      </c>
      <c r="N60" s="17" t="n">
        <v>16.3</v>
      </c>
      <c r="O60" s="17" t="n">
        <v>0</v>
      </c>
      <c r="P60" s="17" t="n">
        <f aca="false">I60*(1+M60/100+N60/100+O60/100)+J60+L60/100*K60</f>
        <v>25.7732</v>
      </c>
      <c r="Q60" s="17" t="n">
        <f aca="false">P60/(1+J60/100+L60/100*K60/100)</f>
        <v>23.9376157491256</v>
      </c>
      <c r="R60" s="16" t="n">
        <v>1</v>
      </c>
      <c r="S60" s="16" t="n">
        <v>1</v>
      </c>
      <c r="T60" s="6" t="s">
        <v>137</v>
      </c>
    </row>
    <row r="61" customFormat="false" ht="15" hidden="false" customHeight="true" outlineLevel="0" collapsed="false">
      <c r="A61" s="16" t="s">
        <v>25</v>
      </c>
      <c r="B61" s="16" t="s">
        <v>26</v>
      </c>
      <c r="C61" s="16" t="s">
        <v>129</v>
      </c>
      <c r="D61" s="16" t="s">
        <v>130</v>
      </c>
      <c r="E61" s="16" t="s">
        <v>131</v>
      </c>
      <c r="F61" s="16" t="s">
        <v>139</v>
      </c>
      <c r="G61" s="16" t="s">
        <v>133</v>
      </c>
      <c r="H61" s="16" t="s">
        <v>140</v>
      </c>
      <c r="I61" s="17" t="n">
        <v>23.2</v>
      </c>
      <c r="J61" s="17" t="n">
        <v>6.7</v>
      </c>
      <c r="K61" s="17" t="n">
        <v>6.7</v>
      </c>
      <c r="L61" s="17" t="n">
        <v>43.2</v>
      </c>
      <c r="M61" s="17" t="n">
        <v>4.4</v>
      </c>
      <c r="N61" s="17" t="n">
        <v>16.3</v>
      </c>
      <c r="O61" s="17" t="n">
        <v>0</v>
      </c>
      <c r="P61" s="17" t="n">
        <f aca="false">I61*(1+M61/100+N61/100+O61/100)+J61+L61/100*K61</f>
        <v>37.5968</v>
      </c>
      <c r="Q61" s="17" t="n">
        <f aca="false">P61/(1+J61/100+L61/100*K61/100)</f>
        <v>34.3054024658194</v>
      </c>
      <c r="R61" s="16" t="n">
        <v>1</v>
      </c>
      <c r="S61" s="16" t="n">
        <v>1</v>
      </c>
      <c r="T61" s="6" t="s">
        <v>135</v>
      </c>
    </row>
    <row r="62" customFormat="false" ht="15" hidden="false" customHeight="true" outlineLevel="0" collapsed="false">
      <c r="A62" s="16" t="s">
        <v>25</v>
      </c>
      <c r="B62" s="16" t="s">
        <v>26</v>
      </c>
      <c r="C62" s="16" t="s">
        <v>129</v>
      </c>
      <c r="D62" s="16" t="s">
        <v>130</v>
      </c>
      <c r="E62" s="16" t="s">
        <v>131</v>
      </c>
      <c r="F62" s="16" t="s">
        <v>139</v>
      </c>
      <c r="G62" s="16" t="s">
        <v>136</v>
      </c>
      <c r="H62" s="16" t="s">
        <v>140</v>
      </c>
      <c r="I62" s="17" t="n">
        <v>23.2</v>
      </c>
      <c r="J62" s="17" t="n">
        <v>7.18</v>
      </c>
      <c r="K62" s="17" t="n">
        <v>6.7</v>
      </c>
      <c r="L62" s="17" t="n">
        <v>43.2</v>
      </c>
      <c r="M62" s="17" t="n">
        <v>4.4</v>
      </c>
      <c r="N62" s="17" t="n">
        <v>16.3</v>
      </c>
      <c r="O62" s="17" t="n">
        <v>0</v>
      </c>
      <c r="P62" s="17" t="n">
        <f aca="false">I62*(1+M62/100+N62/100+O62/100)+J62+L62/100*K62</f>
        <v>38.0768</v>
      </c>
      <c r="Q62" s="17" t="n">
        <f aca="false">P62/(1+J62/100+L62/100*K62/100)</f>
        <v>34.5918760402055</v>
      </c>
      <c r="R62" s="16" t="n">
        <v>1</v>
      </c>
      <c r="S62" s="16" t="n">
        <v>1</v>
      </c>
      <c r="T62" s="6" t="s">
        <v>137</v>
      </c>
    </row>
    <row r="63" customFormat="false" ht="15" hidden="false" customHeight="true" outlineLevel="0" collapsed="false">
      <c r="A63" s="16" t="s">
        <v>25</v>
      </c>
      <c r="B63" s="16" t="s">
        <v>26</v>
      </c>
      <c r="C63" s="16" t="s">
        <v>129</v>
      </c>
      <c r="D63" s="16" t="s">
        <v>130</v>
      </c>
      <c r="E63" s="16" t="s">
        <v>141</v>
      </c>
      <c r="F63" s="16" t="s">
        <v>132</v>
      </c>
      <c r="G63" s="16" t="s">
        <v>136</v>
      </c>
      <c r="H63" s="16" t="s">
        <v>140</v>
      </c>
      <c r="I63" s="17" t="n">
        <v>23.2</v>
      </c>
      <c r="J63" s="17" t="n">
        <v>0.395</v>
      </c>
      <c r="K63" s="17" t="n">
        <v>0.3</v>
      </c>
      <c r="L63" s="17" t="n">
        <v>414.2</v>
      </c>
      <c r="M63" s="17" t="n">
        <v>4.4</v>
      </c>
      <c r="N63" s="17" t="n">
        <v>16.3</v>
      </c>
      <c r="O63" s="17" t="n">
        <v>0</v>
      </c>
      <c r="P63" s="17" t="n">
        <f aca="false">I63*(1+M63/100+N63/100+O63/100)+J63+L63/100*K63</f>
        <v>29.64</v>
      </c>
      <c r="Q63" s="17" t="n">
        <f aca="false">P63/(1+J63/100+L63/100*K63/100)</f>
        <v>29.1624359489008</v>
      </c>
      <c r="R63" s="16" t="n">
        <v>1</v>
      </c>
      <c r="S63" s="16" t="n">
        <v>1</v>
      </c>
      <c r="T63" s="6" t="s">
        <v>142</v>
      </c>
    </row>
    <row r="64" customFormat="false" ht="15" hidden="false" customHeight="true" outlineLevel="0" collapsed="false">
      <c r="A64" s="16" t="s">
        <v>25</v>
      </c>
      <c r="B64" s="16" t="s">
        <v>26</v>
      </c>
      <c r="C64" s="16" t="s">
        <v>129</v>
      </c>
      <c r="D64" s="16" t="s">
        <v>130</v>
      </c>
      <c r="E64" s="16" t="s">
        <v>141</v>
      </c>
      <c r="F64" s="16" t="s">
        <v>138</v>
      </c>
      <c r="G64" s="16" t="s">
        <v>136</v>
      </c>
      <c r="H64" s="16" t="s">
        <v>140</v>
      </c>
      <c r="I64" s="17" t="n">
        <v>23.2</v>
      </c>
      <c r="J64" s="17" t="n">
        <v>0.635</v>
      </c>
      <c r="K64" s="17" t="n">
        <v>0.5</v>
      </c>
      <c r="L64" s="17" t="n">
        <v>414.2</v>
      </c>
      <c r="M64" s="17" t="n">
        <v>4.4</v>
      </c>
      <c r="N64" s="17" t="n">
        <v>16.3</v>
      </c>
      <c r="O64" s="17" t="n">
        <v>0</v>
      </c>
      <c r="P64" s="17" t="n">
        <f aca="false">I64*(1+M64/100+N64/100+O64/100)+J64+L64/100*K64</f>
        <v>30.7084</v>
      </c>
      <c r="Q64" s="17" t="n">
        <f aca="false">P64/(1+J64/100+L64/100*K64/100)</f>
        <v>29.8993242848519</v>
      </c>
      <c r="R64" s="16" t="n">
        <v>1</v>
      </c>
      <c r="S64" s="16" t="n">
        <v>1</v>
      </c>
      <c r="T64" s="6" t="s">
        <v>142</v>
      </c>
    </row>
    <row r="65" customFormat="false" ht="15" hidden="false" customHeight="true" outlineLevel="0" collapsed="false">
      <c r="A65" s="16" t="s">
        <v>25</v>
      </c>
      <c r="B65" s="16" t="s">
        <v>26</v>
      </c>
      <c r="C65" s="16" t="s">
        <v>129</v>
      </c>
      <c r="D65" s="16" t="s">
        <v>130</v>
      </c>
      <c r="E65" s="16" t="s">
        <v>141</v>
      </c>
      <c r="F65" s="16" t="s">
        <v>139</v>
      </c>
      <c r="G65" s="16" t="s">
        <v>136</v>
      </c>
      <c r="H65" s="16" t="s">
        <v>140</v>
      </c>
      <c r="I65" s="17" t="n">
        <v>23.2</v>
      </c>
      <c r="J65" s="17" t="n">
        <v>0.88</v>
      </c>
      <c r="K65" s="17" t="n">
        <v>0.7</v>
      </c>
      <c r="L65" s="17" t="n">
        <v>414.2</v>
      </c>
      <c r="M65" s="17" t="n">
        <v>4.4</v>
      </c>
      <c r="N65" s="17" t="n">
        <v>16.3</v>
      </c>
      <c r="O65" s="17" t="n">
        <v>0</v>
      </c>
      <c r="P65" s="17" t="n">
        <f aca="false">I65*(1+M65/100+N65/100+O65/100)+J65+L65/100*K65</f>
        <v>31.7818</v>
      </c>
      <c r="Q65" s="17" t="n">
        <f aca="false">P65/(1+J65/100+L65/100*K65/100)</f>
        <v>30.6243821028065</v>
      </c>
      <c r="R65" s="16" t="n">
        <v>1</v>
      </c>
      <c r="S65" s="16" t="n">
        <v>1</v>
      </c>
      <c r="T65" s="6" t="s">
        <v>142</v>
      </c>
    </row>
    <row r="66" customFormat="false" ht="23.25" hidden="false" customHeight="true" outlineLevel="0" collapsed="false">
      <c r="A66" s="16" t="s">
        <v>25</v>
      </c>
      <c r="B66" s="16" t="s">
        <v>26</v>
      </c>
      <c r="C66" s="16" t="s">
        <v>143</v>
      </c>
      <c r="D66" s="16" t="s">
        <v>144</v>
      </c>
      <c r="E66" s="16" t="s">
        <v>131</v>
      </c>
      <c r="F66" s="16" t="s">
        <v>145</v>
      </c>
      <c r="G66" s="16" t="s">
        <v>133</v>
      </c>
      <c r="H66" s="16" t="s">
        <v>146</v>
      </c>
      <c r="I66" s="17" t="n">
        <v>15</v>
      </c>
      <c r="J66" s="17" t="n">
        <v>6.7</v>
      </c>
      <c r="K66" s="17" t="n">
        <v>6.7</v>
      </c>
      <c r="L66" s="17" t="n">
        <v>43.2</v>
      </c>
      <c r="M66" s="17" t="n">
        <v>4.4</v>
      </c>
      <c r="N66" s="17" t="n">
        <v>16.3</v>
      </c>
      <c r="O66" s="17" t="n">
        <v>0</v>
      </c>
      <c r="P66" s="17" t="n">
        <f aca="false">I66*(1+M66/100+N66/100+O66/100)+J66+L66/100*K66</f>
        <v>27.6994</v>
      </c>
      <c r="Q66" s="17" t="n">
        <f aca="false">P66/(1+J66/100+L66/100*K66/100)</f>
        <v>25.2744665785843</v>
      </c>
      <c r="R66" s="16" t="n">
        <v>0</v>
      </c>
      <c r="S66" s="16" t="n">
        <v>1</v>
      </c>
      <c r="T66" s="6" t="s">
        <v>147</v>
      </c>
    </row>
    <row r="67" customFormat="false" ht="23.25" hidden="false" customHeight="true" outlineLevel="0" collapsed="false">
      <c r="A67" s="16" t="s">
        <v>25</v>
      </c>
      <c r="B67" s="16" t="s">
        <v>26</v>
      </c>
      <c r="C67" s="16" t="s">
        <v>143</v>
      </c>
      <c r="D67" s="16" t="s">
        <v>144</v>
      </c>
      <c r="E67" s="16" t="s">
        <v>131</v>
      </c>
      <c r="F67" s="16" t="s">
        <v>145</v>
      </c>
      <c r="G67" s="16" t="s">
        <v>136</v>
      </c>
      <c r="H67" s="16" t="s">
        <v>146</v>
      </c>
      <c r="I67" s="17" t="n">
        <v>15</v>
      </c>
      <c r="J67" s="17" t="n">
        <v>7.18</v>
      </c>
      <c r="K67" s="17" t="n">
        <v>6.7</v>
      </c>
      <c r="L67" s="17" t="n">
        <v>43.2</v>
      </c>
      <c r="M67" s="17" t="n">
        <v>4.4</v>
      </c>
      <c r="N67" s="17" t="n">
        <v>16.3</v>
      </c>
      <c r="O67" s="17" t="n">
        <v>0</v>
      </c>
      <c r="P67" s="17" t="n">
        <f aca="false">I67*(1+M67/100+N67/100+O67/100)+J67+L67/100*K67</f>
        <v>28.1794</v>
      </c>
      <c r="Q67" s="17" t="n">
        <f aca="false">P67/(1+J67/100+L67/100*K67/100)</f>
        <v>25.6003212372722</v>
      </c>
      <c r="R67" s="16" t="n">
        <v>0</v>
      </c>
      <c r="S67" s="16" t="n">
        <v>1</v>
      </c>
      <c r="T67" s="6" t="s">
        <v>147</v>
      </c>
    </row>
    <row r="68" customFormat="false" ht="15" hidden="false" customHeight="true" outlineLevel="0" collapsed="false">
      <c r="A68" s="16" t="s">
        <v>28</v>
      </c>
      <c r="B68" s="16" t="s">
        <v>29</v>
      </c>
      <c r="C68" s="16" t="s">
        <v>129</v>
      </c>
      <c r="D68" s="16" t="s">
        <v>130</v>
      </c>
      <c r="E68" s="16" t="s">
        <v>131</v>
      </c>
      <c r="F68" s="16" t="s">
        <v>132</v>
      </c>
      <c r="G68" s="16" t="s">
        <v>133</v>
      </c>
      <c r="H68" s="16" t="s">
        <v>134</v>
      </c>
      <c r="I68" s="17" t="n">
        <v>15</v>
      </c>
      <c r="J68" s="17" t="n">
        <v>3.4</v>
      </c>
      <c r="K68" s="17" t="n">
        <v>3.4</v>
      </c>
      <c r="L68" s="17" t="n">
        <v>43.2</v>
      </c>
      <c r="M68" s="17" t="n">
        <v>4.4</v>
      </c>
      <c r="N68" s="17" t="n">
        <v>16.3</v>
      </c>
      <c r="O68" s="17" t="n">
        <v>0</v>
      </c>
      <c r="P68" s="17" t="n">
        <f aca="false">I68*(1+M68/100+N68/100+O68/100)+J68+L68/100*K68</f>
        <v>22.9738</v>
      </c>
      <c r="Q68" s="17" t="n">
        <f aca="false">P68/(1+J68/100+L68/100*K68/100)</f>
        <v>21.9071830706559</v>
      </c>
      <c r="R68" s="16" t="n">
        <v>1</v>
      </c>
      <c r="S68" s="16" t="n">
        <v>1</v>
      </c>
      <c r="T68" s="6" t="s">
        <v>135</v>
      </c>
    </row>
    <row r="69" customFormat="false" ht="15" hidden="false" customHeight="true" outlineLevel="0" collapsed="false">
      <c r="A69" s="16" t="s">
        <v>28</v>
      </c>
      <c r="B69" s="16" t="s">
        <v>29</v>
      </c>
      <c r="C69" s="16" t="s">
        <v>129</v>
      </c>
      <c r="D69" s="16" t="s">
        <v>130</v>
      </c>
      <c r="E69" s="16" t="s">
        <v>131</v>
      </c>
      <c r="F69" s="16" t="s">
        <v>132</v>
      </c>
      <c r="G69" s="16" t="s">
        <v>136</v>
      </c>
      <c r="H69" s="16" t="s">
        <v>134</v>
      </c>
      <c r="I69" s="17" t="n">
        <v>15</v>
      </c>
      <c r="J69" s="17" t="n">
        <v>3.65</v>
      </c>
      <c r="K69" s="17" t="n">
        <v>3.4</v>
      </c>
      <c r="L69" s="17" t="n">
        <v>43.2</v>
      </c>
      <c r="M69" s="17" t="n">
        <v>4.4</v>
      </c>
      <c r="N69" s="17" t="n">
        <v>16.3</v>
      </c>
      <c r="O69" s="17" t="n">
        <v>0</v>
      </c>
      <c r="P69" s="17" t="n">
        <f aca="false">I69*(1+M69/100+N69/100+O69/100)+J69+L69/100*K69</f>
        <v>23.2238</v>
      </c>
      <c r="Q69" s="17" t="n">
        <f aca="false">P69/(1+J69/100+L69/100*K69/100)</f>
        <v>22.0929082143251</v>
      </c>
      <c r="R69" s="16" t="n">
        <v>1</v>
      </c>
      <c r="S69" s="16" t="n">
        <v>1</v>
      </c>
      <c r="T69" s="6" t="s">
        <v>137</v>
      </c>
    </row>
    <row r="70" customFormat="false" ht="15" hidden="false" customHeight="true" outlineLevel="0" collapsed="false">
      <c r="A70" s="16" t="s">
        <v>28</v>
      </c>
      <c r="B70" s="16" t="s">
        <v>29</v>
      </c>
      <c r="C70" s="16" t="s">
        <v>129</v>
      </c>
      <c r="D70" s="16" t="s">
        <v>130</v>
      </c>
      <c r="E70" s="16" t="s">
        <v>131</v>
      </c>
      <c r="F70" s="16" t="s">
        <v>138</v>
      </c>
      <c r="G70" s="16" t="s">
        <v>133</v>
      </c>
      <c r="H70" s="16" t="s">
        <v>134</v>
      </c>
      <c r="I70" s="17" t="n">
        <v>15</v>
      </c>
      <c r="J70" s="17" t="n">
        <v>5.1</v>
      </c>
      <c r="K70" s="17" t="n">
        <v>5.1</v>
      </c>
      <c r="L70" s="17" t="n">
        <v>43.2</v>
      </c>
      <c r="M70" s="17" t="n">
        <v>4.4</v>
      </c>
      <c r="N70" s="17" t="n">
        <v>16.3</v>
      </c>
      <c r="O70" s="17" t="n">
        <v>0</v>
      </c>
      <c r="P70" s="17" t="n">
        <f aca="false">I70*(1+M70/100+N70/100+O70/100)+J70+L70/100*K70</f>
        <v>25.4082</v>
      </c>
      <c r="Q70" s="17" t="n">
        <f aca="false">P70/(1+J70/100+L70/100*K70/100)</f>
        <v>23.6788837611553</v>
      </c>
      <c r="R70" s="16" t="n">
        <v>1</v>
      </c>
      <c r="S70" s="16" t="n">
        <v>1</v>
      </c>
      <c r="T70" s="6" t="s">
        <v>135</v>
      </c>
    </row>
    <row r="71" customFormat="false" ht="15" hidden="false" customHeight="true" outlineLevel="0" collapsed="false">
      <c r="A71" s="16" t="s">
        <v>28</v>
      </c>
      <c r="B71" s="16" t="s">
        <v>29</v>
      </c>
      <c r="C71" s="16" t="s">
        <v>129</v>
      </c>
      <c r="D71" s="16" t="s">
        <v>130</v>
      </c>
      <c r="E71" s="16" t="s">
        <v>131</v>
      </c>
      <c r="F71" s="16" t="s">
        <v>138</v>
      </c>
      <c r="G71" s="16" t="s">
        <v>136</v>
      </c>
      <c r="H71" s="16" t="s">
        <v>134</v>
      </c>
      <c r="I71" s="17" t="n">
        <v>15</v>
      </c>
      <c r="J71" s="17" t="n">
        <v>5.465</v>
      </c>
      <c r="K71" s="17" t="n">
        <v>5.1</v>
      </c>
      <c r="L71" s="17" t="n">
        <v>43.2</v>
      </c>
      <c r="M71" s="17" t="n">
        <v>4.4</v>
      </c>
      <c r="N71" s="17" t="n">
        <v>16.3</v>
      </c>
      <c r="O71" s="17" t="n">
        <v>0</v>
      </c>
      <c r="P71" s="17" t="n">
        <f aca="false">I71*(1+M71/100+N71/100+O71/100)+J71+L71/100*K71</f>
        <v>25.7732</v>
      </c>
      <c r="Q71" s="17" t="n">
        <f aca="false">P71/(1+J71/100+L71/100*K71/100)</f>
        <v>23.9376157491256</v>
      </c>
      <c r="R71" s="16" t="n">
        <v>1</v>
      </c>
      <c r="S71" s="16" t="n">
        <v>1</v>
      </c>
      <c r="T71" s="6" t="s">
        <v>137</v>
      </c>
    </row>
    <row r="72" customFormat="false" ht="15" hidden="false" customHeight="true" outlineLevel="0" collapsed="false">
      <c r="A72" s="16" t="s">
        <v>28</v>
      </c>
      <c r="B72" s="16" t="s">
        <v>29</v>
      </c>
      <c r="C72" s="16" t="s">
        <v>129</v>
      </c>
      <c r="D72" s="16" t="s">
        <v>130</v>
      </c>
      <c r="E72" s="16" t="s">
        <v>131</v>
      </c>
      <c r="F72" s="16" t="s">
        <v>139</v>
      </c>
      <c r="G72" s="16" t="s">
        <v>133</v>
      </c>
      <c r="H72" s="16" t="s">
        <v>140</v>
      </c>
      <c r="I72" s="17" t="n">
        <v>23.2</v>
      </c>
      <c r="J72" s="17" t="n">
        <v>6.7</v>
      </c>
      <c r="K72" s="17" t="n">
        <v>6.7</v>
      </c>
      <c r="L72" s="17" t="n">
        <v>43.2</v>
      </c>
      <c r="M72" s="17" t="n">
        <v>4.4</v>
      </c>
      <c r="N72" s="17" t="n">
        <v>16.3</v>
      </c>
      <c r="O72" s="17" t="n">
        <v>0</v>
      </c>
      <c r="P72" s="17" t="n">
        <f aca="false">I72*(1+M72/100+N72/100+O72/100)+J72+L72/100*K72</f>
        <v>37.5968</v>
      </c>
      <c r="Q72" s="17" t="n">
        <f aca="false">P72/(1+J72/100+L72/100*K72/100)</f>
        <v>34.3054024658194</v>
      </c>
      <c r="R72" s="16" t="n">
        <v>1</v>
      </c>
      <c r="S72" s="16" t="n">
        <v>1</v>
      </c>
      <c r="T72" s="6" t="s">
        <v>135</v>
      </c>
    </row>
    <row r="73" customFormat="false" ht="15" hidden="false" customHeight="true" outlineLevel="0" collapsed="false">
      <c r="A73" s="16" t="s">
        <v>28</v>
      </c>
      <c r="B73" s="16" t="s">
        <v>29</v>
      </c>
      <c r="C73" s="16" t="s">
        <v>129</v>
      </c>
      <c r="D73" s="16" t="s">
        <v>130</v>
      </c>
      <c r="E73" s="16" t="s">
        <v>131</v>
      </c>
      <c r="F73" s="16" t="s">
        <v>139</v>
      </c>
      <c r="G73" s="16" t="s">
        <v>136</v>
      </c>
      <c r="H73" s="16" t="s">
        <v>140</v>
      </c>
      <c r="I73" s="17" t="n">
        <v>23.2</v>
      </c>
      <c r="J73" s="17" t="n">
        <v>7.18</v>
      </c>
      <c r="K73" s="17" t="n">
        <v>6.7</v>
      </c>
      <c r="L73" s="17" t="n">
        <v>43.2</v>
      </c>
      <c r="M73" s="17" t="n">
        <v>4.4</v>
      </c>
      <c r="N73" s="17" t="n">
        <v>16.3</v>
      </c>
      <c r="O73" s="17" t="n">
        <v>0</v>
      </c>
      <c r="P73" s="17" t="n">
        <f aca="false">I73*(1+M73/100+N73/100+O73/100)+J73+L73/100*K73</f>
        <v>38.0768</v>
      </c>
      <c r="Q73" s="17" t="n">
        <f aca="false">P73/(1+J73/100+L73/100*K73/100)</f>
        <v>34.5918760402055</v>
      </c>
      <c r="R73" s="16" t="n">
        <v>1</v>
      </c>
      <c r="S73" s="16" t="n">
        <v>1</v>
      </c>
      <c r="T73" s="6" t="s">
        <v>137</v>
      </c>
    </row>
    <row r="74" customFormat="false" ht="15" hidden="false" customHeight="true" outlineLevel="0" collapsed="false">
      <c r="A74" s="16" t="s">
        <v>28</v>
      </c>
      <c r="B74" s="16" t="s">
        <v>29</v>
      </c>
      <c r="C74" s="16" t="s">
        <v>129</v>
      </c>
      <c r="D74" s="16" t="s">
        <v>130</v>
      </c>
      <c r="E74" s="16" t="s">
        <v>141</v>
      </c>
      <c r="F74" s="16" t="s">
        <v>132</v>
      </c>
      <c r="G74" s="16" t="s">
        <v>136</v>
      </c>
      <c r="H74" s="16" t="s">
        <v>140</v>
      </c>
      <c r="I74" s="17" t="n">
        <v>23.2</v>
      </c>
      <c r="J74" s="17" t="n">
        <v>0.395</v>
      </c>
      <c r="K74" s="17" t="n">
        <v>0.3</v>
      </c>
      <c r="L74" s="17" t="n">
        <v>414.2</v>
      </c>
      <c r="M74" s="17" t="n">
        <v>4.4</v>
      </c>
      <c r="N74" s="17" t="n">
        <v>16.3</v>
      </c>
      <c r="O74" s="17" t="n">
        <v>0</v>
      </c>
      <c r="P74" s="17" t="n">
        <f aca="false">I74*(1+M74/100+N74/100+O74/100)+J74+L74/100*K74</f>
        <v>29.64</v>
      </c>
      <c r="Q74" s="17" t="n">
        <f aca="false">P74/(1+J74/100+L74/100*K74/100)</f>
        <v>29.1624359489008</v>
      </c>
      <c r="R74" s="16" t="n">
        <v>1</v>
      </c>
      <c r="S74" s="16" t="n">
        <v>1</v>
      </c>
      <c r="T74" s="6" t="s">
        <v>142</v>
      </c>
    </row>
    <row r="75" customFormat="false" ht="15" hidden="false" customHeight="true" outlineLevel="0" collapsed="false">
      <c r="A75" s="16" t="s">
        <v>28</v>
      </c>
      <c r="B75" s="16" t="s">
        <v>29</v>
      </c>
      <c r="C75" s="16" t="s">
        <v>129</v>
      </c>
      <c r="D75" s="16" t="s">
        <v>130</v>
      </c>
      <c r="E75" s="16" t="s">
        <v>141</v>
      </c>
      <c r="F75" s="16" t="s">
        <v>138</v>
      </c>
      <c r="G75" s="16" t="s">
        <v>136</v>
      </c>
      <c r="H75" s="16" t="s">
        <v>140</v>
      </c>
      <c r="I75" s="17" t="n">
        <v>23.2</v>
      </c>
      <c r="J75" s="17" t="n">
        <v>0.635</v>
      </c>
      <c r="K75" s="17" t="n">
        <v>0.5</v>
      </c>
      <c r="L75" s="17" t="n">
        <v>414.2</v>
      </c>
      <c r="M75" s="17" t="n">
        <v>4.4</v>
      </c>
      <c r="N75" s="17" t="n">
        <v>16.3</v>
      </c>
      <c r="O75" s="17" t="n">
        <v>0</v>
      </c>
      <c r="P75" s="17" t="n">
        <f aca="false">I75*(1+M75/100+N75/100+O75/100)+J75+L75/100*K75</f>
        <v>30.7084</v>
      </c>
      <c r="Q75" s="17" t="n">
        <f aca="false">P75/(1+J75/100+L75/100*K75/100)</f>
        <v>29.8993242848519</v>
      </c>
      <c r="R75" s="16" t="n">
        <v>1</v>
      </c>
      <c r="S75" s="16" t="n">
        <v>1</v>
      </c>
      <c r="T75" s="6" t="s">
        <v>142</v>
      </c>
    </row>
    <row r="76" customFormat="false" ht="15" hidden="false" customHeight="true" outlineLevel="0" collapsed="false">
      <c r="A76" s="16" t="s">
        <v>28</v>
      </c>
      <c r="B76" s="16" t="s">
        <v>29</v>
      </c>
      <c r="C76" s="16" t="s">
        <v>129</v>
      </c>
      <c r="D76" s="16" t="s">
        <v>130</v>
      </c>
      <c r="E76" s="16" t="s">
        <v>141</v>
      </c>
      <c r="F76" s="16" t="s">
        <v>139</v>
      </c>
      <c r="G76" s="16" t="s">
        <v>136</v>
      </c>
      <c r="H76" s="16" t="s">
        <v>140</v>
      </c>
      <c r="I76" s="17" t="n">
        <v>23.2</v>
      </c>
      <c r="J76" s="17" t="n">
        <v>0.88</v>
      </c>
      <c r="K76" s="17" t="n">
        <v>0.7</v>
      </c>
      <c r="L76" s="17" t="n">
        <v>414.2</v>
      </c>
      <c r="M76" s="17" t="n">
        <v>4.4</v>
      </c>
      <c r="N76" s="17" t="n">
        <v>16.3</v>
      </c>
      <c r="O76" s="17" t="n">
        <v>0</v>
      </c>
      <c r="P76" s="17" t="n">
        <f aca="false">I76*(1+M76/100+N76/100+O76/100)+J76+L76/100*K76</f>
        <v>31.7818</v>
      </c>
      <c r="Q76" s="17" t="n">
        <f aca="false">P76/(1+J76/100+L76/100*K76/100)</f>
        <v>30.6243821028065</v>
      </c>
      <c r="R76" s="16" t="n">
        <v>1</v>
      </c>
      <c r="S76" s="16" t="n">
        <v>1</v>
      </c>
      <c r="T76" s="6" t="s">
        <v>142</v>
      </c>
    </row>
    <row r="77" customFormat="false" ht="23.25" hidden="false" customHeight="true" outlineLevel="0" collapsed="false">
      <c r="A77" s="16" t="s">
        <v>28</v>
      </c>
      <c r="B77" s="16" t="s">
        <v>29</v>
      </c>
      <c r="C77" s="16" t="s">
        <v>143</v>
      </c>
      <c r="D77" s="16" t="s">
        <v>144</v>
      </c>
      <c r="E77" s="16" t="s">
        <v>131</v>
      </c>
      <c r="F77" s="16" t="s">
        <v>145</v>
      </c>
      <c r="G77" s="16" t="s">
        <v>133</v>
      </c>
      <c r="H77" s="16" t="s">
        <v>146</v>
      </c>
      <c r="I77" s="17" t="n">
        <v>15</v>
      </c>
      <c r="J77" s="17" t="n">
        <v>6.7</v>
      </c>
      <c r="K77" s="17" t="n">
        <v>6.7</v>
      </c>
      <c r="L77" s="17" t="n">
        <v>43.2</v>
      </c>
      <c r="M77" s="17" t="n">
        <v>4.4</v>
      </c>
      <c r="N77" s="17" t="n">
        <v>16.3</v>
      </c>
      <c r="O77" s="17" t="n">
        <v>0</v>
      </c>
      <c r="P77" s="17" t="n">
        <f aca="false">I77*(1+M77/100+N77/100+O77/100)+J77+L77/100*K77</f>
        <v>27.6994</v>
      </c>
      <c r="Q77" s="17" t="n">
        <f aca="false">P77/(1+J77/100+L77/100*K77/100)</f>
        <v>25.2744665785843</v>
      </c>
      <c r="R77" s="16" t="n">
        <v>0</v>
      </c>
      <c r="S77" s="16" t="n">
        <v>1</v>
      </c>
      <c r="T77" s="6" t="s">
        <v>147</v>
      </c>
    </row>
    <row r="78" customFormat="false" ht="23.25" hidden="false" customHeight="true" outlineLevel="0" collapsed="false">
      <c r="A78" s="16" t="s">
        <v>28</v>
      </c>
      <c r="B78" s="16" t="s">
        <v>29</v>
      </c>
      <c r="C78" s="16" t="s">
        <v>143</v>
      </c>
      <c r="D78" s="16" t="s">
        <v>144</v>
      </c>
      <c r="E78" s="16" t="s">
        <v>131</v>
      </c>
      <c r="F78" s="16" t="s">
        <v>145</v>
      </c>
      <c r="G78" s="16" t="s">
        <v>136</v>
      </c>
      <c r="H78" s="16" t="s">
        <v>146</v>
      </c>
      <c r="I78" s="17" t="n">
        <v>15</v>
      </c>
      <c r="J78" s="17" t="n">
        <v>7.18</v>
      </c>
      <c r="K78" s="17" t="n">
        <v>6.7</v>
      </c>
      <c r="L78" s="17" t="n">
        <v>43.2</v>
      </c>
      <c r="M78" s="17" t="n">
        <v>4.4</v>
      </c>
      <c r="N78" s="17" t="n">
        <v>16.3</v>
      </c>
      <c r="O78" s="17" t="n">
        <v>0</v>
      </c>
      <c r="P78" s="17" t="n">
        <f aca="false">I78*(1+M78/100+N78/100+O78/100)+J78+L78/100*K78</f>
        <v>28.1794</v>
      </c>
      <c r="Q78" s="17" t="n">
        <f aca="false">P78/(1+J78/100+L78/100*K78/100)</f>
        <v>25.6003212372722</v>
      </c>
      <c r="R78" s="16" t="n">
        <v>0</v>
      </c>
      <c r="S78" s="16" t="n">
        <v>1</v>
      </c>
      <c r="T78" s="6" t="s">
        <v>147</v>
      </c>
    </row>
    <row r="79" customFormat="false" ht="34.5" hidden="false" customHeight="true" outlineLevel="0" collapsed="false">
      <c r="A79" s="16" t="s">
        <v>28</v>
      </c>
      <c r="B79" s="16" t="s">
        <v>29</v>
      </c>
      <c r="C79" s="16" t="s">
        <v>143</v>
      </c>
      <c r="D79" s="16" t="s">
        <v>148</v>
      </c>
      <c r="E79" s="16" t="s">
        <v>131</v>
      </c>
      <c r="F79" s="16" t="s">
        <v>145</v>
      </c>
      <c r="G79" s="16" t="s">
        <v>136</v>
      </c>
      <c r="H79" s="16" t="s">
        <v>149</v>
      </c>
      <c r="I79" s="17" t="n">
        <v>19</v>
      </c>
      <c r="J79" s="17" t="n">
        <v>7.18</v>
      </c>
      <c r="K79" s="17" t="n">
        <v>6.7</v>
      </c>
      <c r="L79" s="17" t="n">
        <v>43.2</v>
      </c>
      <c r="M79" s="17" t="n">
        <v>4.4</v>
      </c>
      <c r="N79" s="17" t="n">
        <v>16.3</v>
      </c>
      <c r="O79" s="17" t="n">
        <v>0</v>
      </c>
      <c r="P79" s="17" t="n">
        <f aca="false">I79*(1+M79/100+N79/100+O79/100)+J79+L79/100*K79</f>
        <v>33.0074</v>
      </c>
      <c r="Q79" s="17" t="n">
        <f aca="false">P79/(1+J79/100+L79/100*K79/100)</f>
        <v>29.986445531386</v>
      </c>
      <c r="R79" s="16" t="n">
        <v>0</v>
      </c>
      <c r="S79" s="16" t="n">
        <v>1</v>
      </c>
      <c r="T79" s="6" t="s">
        <v>150</v>
      </c>
    </row>
    <row r="80" customFormat="false" ht="23.25" hidden="false" customHeight="true" outlineLevel="0" collapsed="false">
      <c r="A80" s="16" t="s">
        <v>28</v>
      </c>
      <c r="B80" s="16" t="s">
        <v>29</v>
      </c>
      <c r="C80" s="16" t="s">
        <v>143</v>
      </c>
      <c r="D80" s="16" t="s">
        <v>148</v>
      </c>
      <c r="E80" s="16" t="s">
        <v>131</v>
      </c>
      <c r="F80" s="16" t="s">
        <v>132</v>
      </c>
      <c r="G80" s="16" t="s">
        <v>136</v>
      </c>
      <c r="H80" s="16" t="s">
        <v>149</v>
      </c>
      <c r="I80" s="17" t="n">
        <v>19</v>
      </c>
      <c r="J80" s="17" t="n">
        <v>3.65</v>
      </c>
      <c r="K80" s="17" t="n">
        <v>3.4</v>
      </c>
      <c r="L80" s="17" t="n">
        <v>43.2</v>
      </c>
      <c r="M80" s="17" t="n">
        <v>4.4</v>
      </c>
      <c r="N80" s="17" t="n">
        <v>16.3</v>
      </c>
      <c r="O80" s="17" t="n">
        <v>0</v>
      </c>
      <c r="P80" s="17" t="n">
        <f aca="false">I80*(1+M80/100+N80/100+O80/100)+J80+L80/100*K80</f>
        <v>28.0518</v>
      </c>
      <c r="Q80" s="17" t="n">
        <f aca="false">P80/(1+J80/100+L80/100*K80/100)</f>
        <v>26.6858069156041</v>
      </c>
      <c r="R80" s="16" t="n">
        <v>0</v>
      </c>
      <c r="S80" s="16" t="n">
        <v>1</v>
      </c>
      <c r="T80" s="6" t="s">
        <v>151</v>
      </c>
    </row>
    <row r="81" customFormat="false" ht="23.25" hidden="false" customHeight="true" outlineLevel="0" collapsed="false">
      <c r="A81" s="16" t="s">
        <v>28</v>
      </c>
      <c r="B81" s="16" t="s">
        <v>29</v>
      </c>
      <c r="C81" s="16" t="s">
        <v>143</v>
      </c>
      <c r="D81" s="16" t="s">
        <v>148</v>
      </c>
      <c r="E81" s="16" t="s">
        <v>131</v>
      </c>
      <c r="F81" s="16" t="s">
        <v>138</v>
      </c>
      <c r="G81" s="16" t="s">
        <v>136</v>
      </c>
      <c r="H81" s="16" t="s">
        <v>149</v>
      </c>
      <c r="I81" s="17" t="n">
        <v>19</v>
      </c>
      <c r="J81" s="17" t="n">
        <v>5.465</v>
      </c>
      <c r="K81" s="17" t="n">
        <v>5.1</v>
      </c>
      <c r="L81" s="17" t="n">
        <v>43.2</v>
      </c>
      <c r="M81" s="17" t="n">
        <v>4.4</v>
      </c>
      <c r="N81" s="17" t="n">
        <v>16.3</v>
      </c>
      <c r="O81" s="17" t="n">
        <v>0</v>
      </c>
      <c r="P81" s="17" t="n">
        <f aca="false">I81*(1+M81/100+N81/100+O81/100)+J81+L81/100*K81</f>
        <v>30.6012</v>
      </c>
      <c r="Q81" s="17" t="n">
        <f aca="false">P81/(1+J81/100+L81/100*K81/100)</f>
        <v>28.4217624145291</v>
      </c>
      <c r="R81" s="16" t="n">
        <v>0</v>
      </c>
      <c r="S81" s="16" t="n">
        <v>1</v>
      </c>
      <c r="T81" s="6" t="s">
        <v>151</v>
      </c>
    </row>
    <row r="82" customFormat="false" ht="15" hidden="false" customHeight="true" outlineLevel="0" collapsed="false">
      <c r="A82" s="16" t="s">
        <v>31</v>
      </c>
      <c r="B82" s="16" t="s">
        <v>32</v>
      </c>
      <c r="C82" s="16" t="s">
        <v>129</v>
      </c>
      <c r="D82" s="16" t="s">
        <v>130</v>
      </c>
      <c r="E82" s="16" t="s">
        <v>131</v>
      </c>
      <c r="F82" s="16" t="s">
        <v>132</v>
      </c>
      <c r="G82" s="16" t="s">
        <v>133</v>
      </c>
      <c r="H82" s="16" t="s">
        <v>134</v>
      </c>
      <c r="I82" s="17" t="n">
        <v>15</v>
      </c>
      <c r="J82" s="17" t="n">
        <v>3.5</v>
      </c>
      <c r="K82" s="17" t="n">
        <v>3.5</v>
      </c>
      <c r="L82" s="17" t="n">
        <v>37</v>
      </c>
      <c r="M82" s="17" t="n">
        <v>10.3</v>
      </c>
      <c r="N82" s="17" t="n">
        <v>10.4</v>
      </c>
      <c r="O82" s="17" t="n">
        <v>0</v>
      </c>
      <c r="P82" s="17" t="n">
        <f aca="false">I82*(1+M82/100+N82/100+O82/100)+J82+L82/100*K82</f>
        <v>22.9</v>
      </c>
      <c r="Q82" s="17" t="n">
        <f aca="false">P82/(1+J82/100+L82/100*K82/100)</f>
        <v>21.8521876043704</v>
      </c>
      <c r="R82" s="16" t="n">
        <v>1</v>
      </c>
      <c r="S82" s="16" t="n">
        <v>1</v>
      </c>
      <c r="T82" s="6" t="s">
        <v>135</v>
      </c>
    </row>
    <row r="83" customFormat="false" ht="15" hidden="false" customHeight="true" outlineLevel="0" collapsed="false">
      <c r="A83" s="16" t="s">
        <v>31</v>
      </c>
      <c r="B83" s="16" t="s">
        <v>32</v>
      </c>
      <c r="C83" s="16" t="s">
        <v>129</v>
      </c>
      <c r="D83" s="16" t="s">
        <v>130</v>
      </c>
      <c r="E83" s="16" t="s">
        <v>131</v>
      </c>
      <c r="F83" s="16" t="s">
        <v>132</v>
      </c>
      <c r="G83" s="16" t="s">
        <v>136</v>
      </c>
      <c r="H83" s="16" t="s">
        <v>134</v>
      </c>
      <c r="I83" s="17" t="n">
        <v>15</v>
      </c>
      <c r="J83" s="17" t="n">
        <v>3.75</v>
      </c>
      <c r="K83" s="17" t="n">
        <v>3.5</v>
      </c>
      <c r="L83" s="17" t="n">
        <v>37</v>
      </c>
      <c r="M83" s="17" t="n">
        <v>10.3</v>
      </c>
      <c r="N83" s="17" t="n">
        <v>10.4</v>
      </c>
      <c r="O83" s="17" t="n">
        <v>0</v>
      </c>
      <c r="P83" s="17" t="n">
        <f aca="false">I83*(1+M83/100+N83/100+O83/100)+J83+L83/100*K83</f>
        <v>23.15</v>
      </c>
      <c r="Q83" s="17" t="n">
        <f aca="false">P83/(1+J83/100+L83/100*K83/100)</f>
        <v>22.0381741158551</v>
      </c>
      <c r="R83" s="16" t="n">
        <v>1</v>
      </c>
      <c r="S83" s="16" t="n">
        <v>1</v>
      </c>
      <c r="T83" s="6" t="s">
        <v>137</v>
      </c>
    </row>
    <row r="84" customFormat="false" ht="15" hidden="false" customHeight="true" outlineLevel="0" collapsed="false">
      <c r="A84" s="16" t="s">
        <v>31</v>
      </c>
      <c r="B84" s="16" t="s">
        <v>32</v>
      </c>
      <c r="C84" s="16" t="s">
        <v>129</v>
      </c>
      <c r="D84" s="16" t="s">
        <v>130</v>
      </c>
      <c r="E84" s="16" t="s">
        <v>131</v>
      </c>
      <c r="F84" s="16" t="s">
        <v>138</v>
      </c>
      <c r="G84" s="16" t="s">
        <v>133</v>
      </c>
      <c r="H84" s="16" t="s">
        <v>134</v>
      </c>
      <c r="I84" s="17" t="n">
        <v>15</v>
      </c>
      <c r="J84" s="17" t="n">
        <v>5.3</v>
      </c>
      <c r="K84" s="17" t="n">
        <v>5.3</v>
      </c>
      <c r="L84" s="17" t="n">
        <v>37</v>
      </c>
      <c r="M84" s="17" t="n">
        <v>10.3</v>
      </c>
      <c r="N84" s="17" t="n">
        <v>10.4</v>
      </c>
      <c r="O84" s="17" t="n">
        <v>0</v>
      </c>
      <c r="P84" s="17" t="n">
        <f aca="false">I84*(1+M84/100+N84/100+O84/100)+J84+L84/100*K84</f>
        <v>25.366</v>
      </c>
      <c r="Q84" s="17" t="n">
        <f aca="false">P84/(1+J84/100+L84/100*K84/100)</f>
        <v>23.6488565275356</v>
      </c>
      <c r="R84" s="16" t="n">
        <v>1</v>
      </c>
      <c r="S84" s="16" t="n">
        <v>1</v>
      </c>
      <c r="T84" s="6" t="s">
        <v>135</v>
      </c>
    </row>
    <row r="85" customFormat="false" ht="15" hidden="false" customHeight="true" outlineLevel="0" collapsed="false">
      <c r="A85" s="16" t="s">
        <v>31</v>
      </c>
      <c r="B85" s="16" t="s">
        <v>32</v>
      </c>
      <c r="C85" s="16" t="s">
        <v>129</v>
      </c>
      <c r="D85" s="16" t="s">
        <v>130</v>
      </c>
      <c r="E85" s="16" t="s">
        <v>131</v>
      </c>
      <c r="F85" s="16" t="s">
        <v>138</v>
      </c>
      <c r="G85" s="16" t="s">
        <v>136</v>
      </c>
      <c r="H85" s="16" t="s">
        <v>134</v>
      </c>
      <c r="I85" s="17" t="n">
        <v>15</v>
      </c>
      <c r="J85" s="17" t="n">
        <v>5.665</v>
      </c>
      <c r="K85" s="17" t="n">
        <v>5.3</v>
      </c>
      <c r="L85" s="17" t="n">
        <v>37</v>
      </c>
      <c r="M85" s="17" t="n">
        <v>10.3</v>
      </c>
      <c r="N85" s="17" t="n">
        <v>10.4</v>
      </c>
      <c r="O85" s="17" t="n">
        <v>0</v>
      </c>
      <c r="P85" s="17" t="n">
        <f aca="false">I85*(1+M85/100+N85/100+O85/100)+J85+L85/100*K85</f>
        <v>25.731</v>
      </c>
      <c r="Q85" s="17" t="n">
        <f aca="false">P85/(1+J85/100+L85/100*K85/100)</f>
        <v>23.907791797521</v>
      </c>
      <c r="R85" s="16" t="n">
        <v>1</v>
      </c>
      <c r="S85" s="16" t="n">
        <v>1</v>
      </c>
      <c r="T85" s="6" t="s">
        <v>137</v>
      </c>
    </row>
    <row r="86" customFormat="false" ht="15" hidden="false" customHeight="true" outlineLevel="0" collapsed="false">
      <c r="A86" s="16" t="s">
        <v>31</v>
      </c>
      <c r="B86" s="16" t="s">
        <v>32</v>
      </c>
      <c r="C86" s="16" t="s">
        <v>129</v>
      </c>
      <c r="D86" s="16" t="s">
        <v>130</v>
      </c>
      <c r="E86" s="16" t="s">
        <v>131</v>
      </c>
      <c r="F86" s="16" t="s">
        <v>139</v>
      </c>
      <c r="G86" s="16" t="s">
        <v>133</v>
      </c>
      <c r="H86" s="16" t="s">
        <v>140</v>
      </c>
      <c r="I86" s="17" t="n">
        <v>23.2</v>
      </c>
      <c r="J86" s="17" t="n">
        <v>7</v>
      </c>
      <c r="K86" s="17" t="n">
        <v>7</v>
      </c>
      <c r="L86" s="17" t="n">
        <v>37</v>
      </c>
      <c r="M86" s="17" t="n">
        <v>10.3</v>
      </c>
      <c r="N86" s="17" t="n">
        <v>10.4</v>
      </c>
      <c r="O86" s="17" t="n">
        <v>0</v>
      </c>
      <c r="P86" s="17" t="n">
        <f aca="false">I86*(1+M86/100+N86/100+O86/100)+J86+L86/100*K86</f>
        <v>37.5924</v>
      </c>
      <c r="Q86" s="17" t="n">
        <f aca="false">P86/(1+J86/100+L86/100*K86/100)</f>
        <v>34.3027648508076</v>
      </c>
      <c r="R86" s="16" t="n">
        <v>1</v>
      </c>
      <c r="S86" s="16" t="n">
        <v>1</v>
      </c>
      <c r="T86" s="6" t="s">
        <v>135</v>
      </c>
    </row>
    <row r="87" customFormat="false" ht="15" hidden="false" customHeight="true" outlineLevel="0" collapsed="false">
      <c r="A87" s="16" t="s">
        <v>31</v>
      </c>
      <c r="B87" s="16" t="s">
        <v>32</v>
      </c>
      <c r="C87" s="16" t="s">
        <v>129</v>
      </c>
      <c r="D87" s="16" t="s">
        <v>130</v>
      </c>
      <c r="E87" s="16" t="s">
        <v>131</v>
      </c>
      <c r="F87" s="16" t="s">
        <v>139</v>
      </c>
      <c r="G87" s="16" t="s">
        <v>136</v>
      </c>
      <c r="H87" s="16" t="s">
        <v>140</v>
      </c>
      <c r="I87" s="17" t="n">
        <v>23.2</v>
      </c>
      <c r="J87" s="17" t="n">
        <v>7.48</v>
      </c>
      <c r="K87" s="17" t="n">
        <v>7</v>
      </c>
      <c r="L87" s="17" t="n">
        <v>37</v>
      </c>
      <c r="M87" s="17" t="n">
        <v>10.3</v>
      </c>
      <c r="N87" s="17" t="n">
        <v>10.4</v>
      </c>
      <c r="O87" s="17" t="n">
        <v>0</v>
      </c>
      <c r="P87" s="17" t="n">
        <f aca="false">I87*(1+M87/100+N87/100+O87/100)+J87+L87/100*K87</f>
        <v>38.0724</v>
      </c>
      <c r="Q87" s="17" t="n">
        <f aca="false">P87/(1+J87/100+L87/100*K87/100)</f>
        <v>34.5892613791224</v>
      </c>
      <c r="R87" s="16" t="n">
        <v>1</v>
      </c>
      <c r="S87" s="16" t="n">
        <v>1</v>
      </c>
      <c r="T87" s="6" t="s">
        <v>137</v>
      </c>
    </row>
    <row r="88" customFormat="false" ht="15" hidden="false" customHeight="true" outlineLevel="0" collapsed="false">
      <c r="A88" s="16" t="s">
        <v>31</v>
      </c>
      <c r="B88" s="16" t="s">
        <v>32</v>
      </c>
      <c r="C88" s="16" t="s">
        <v>129</v>
      </c>
      <c r="D88" s="16" t="s">
        <v>130</v>
      </c>
      <c r="E88" s="16" t="s">
        <v>141</v>
      </c>
      <c r="F88" s="16" t="s">
        <v>132</v>
      </c>
      <c r="G88" s="16" t="s">
        <v>136</v>
      </c>
      <c r="H88" s="16" t="s">
        <v>140</v>
      </c>
      <c r="I88" s="17" t="n">
        <v>23.2</v>
      </c>
      <c r="J88" s="17" t="n">
        <v>0.495</v>
      </c>
      <c r="K88" s="17" t="n">
        <v>0.4</v>
      </c>
      <c r="L88" s="17" t="n">
        <v>260</v>
      </c>
      <c r="M88" s="17" t="n">
        <v>10.3</v>
      </c>
      <c r="N88" s="17" t="n">
        <v>10.4</v>
      </c>
      <c r="O88" s="17" t="n">
        <v>0</v>
      </c>
      <c r="P88" s="17" t="n">
        <f aca="false">I88*(1+M88/100+N88/100+O88/100)+J88+L88/100*K88</f>
        <v>29.5374</v>
      </c>
      <c r="Q88" s="17" t="n">
        <f aca="false">P88/(1+J88/100+L88/100*K88/100)</f>
        <v>29.0908553700694</v>
      </c>
      <c r="R88" s="16" t="n">
        <v>1</v>
      </c>
      <c r="S88" s="16" t="n">
        <v>1</v>
      </c>
      <c r="T88" s="6" t="s">
        <v>142</v>
      </c>
    </row>
    <row r="89" customFormat="false" ht="15" hidden="false" customHeight="true" outlineLevel="0" collapsed="false">
      <c r="A89" s="16" t="s">
        <v>31</v>
      </c>
      <c r="B89" s="16" t="s">
        <v>32</v>
      </c>
      <c r="C89" s="16" t="s">
        <v>129</v>
      </c>
      <c r="D89" s="16" t="s">
        <v>130</v>
      </c>
      <c r="E89" s="16" t="s">
        <v>141</v>
      </c>
      <c r="F89" s="16" t="s">
        <v>138</v>
      </c>
      <c r="G89" s="16" t="s">
        <v>136</v>
      </c>
      <c r="H89" s="16" t="s">
        <v>140</v>
      </c>
      <c r="I89" s="17" t="n">
        <v>23.2</v>
      </c>
      <c r="J89" s="17" t="n">
        <v>0.835</v>
      </c>
      <c r="K89" s="17" t="n">
        <v>0.7</v>
      </c>
      <c r="L89" s="17" t="n">
        <v>260</v>
      </c>
      <c r="M89" s="17" t="n">
        <v>10.3</v>
      </c>
      <c r="N89" s="17" t="n">
        <v>10.4</v>
      </c>
      <c r="O89" s="17" t="n">
        <v>0</v>
      </c>
      <c r="P89" s="17" t="n">
        <f aca="false">I89*(1+M89/100+N89/100+O89/100)+J89+L89/100*K89</f>
        <v>30.6574</v>
      </c>
      <c r="Q89" s="17" t="n">
        <f aca="false">P89/(1+J89/100+L89/100*K89/100)</f>
        <v>29.8644975890117</v>
      </c>
      <c r="R89" s="16" t="n">
        <v>1</v>
      </c>
      <c r="S89" s="16" t="n">
        <v>1</v>
      </c>
      <c r="T89" s="6" t="s">
        <v>142</v>
      </c>
    </row>
    <row r="90" customFormat="false" ht="15" hidden="false" customHeight="true" outlineLevel="0" collapsed="false">
      <c r="A90" s="16" t="s">
        <v>31</v>
      </c>
      <c r="B90" s="16" t="s">
        <v>32</v>
      </c>
      <c r="C90" s="16" t="s">
        <v>129</v>
      </c>
      <c r="D90" s="16" t="s">
        <v>130</v>
      </c>
      <c r="E90" s="16" t="s">
        <v>141</v>
      </c>
      <c r="F90" s="16" t="s">
        <v>139</v>
      </c>
      <c r="G90" s="16" t="s">
        <v>136</v>
      </c>
      <c r="H90" s="16" t="s">
        <v>140</v>
      </c>
      <c r="I90" s="17" t="n">
        <v>23.2</v>
      </c>
      <c r="J90" s="17" t="n">
        <v>1.18</v>
      </c>
      <c r="K90" s="17" t="n">
        <v>1</v>
      </c>
      <c r="L90" s="17" t="n">
        <v>260</v>
      </c>
      <c r="M90" s="17" t="n">
        <v>10.3</v>
      </c>
      <c r="N90" s="17" t="n">
        <v>10.4</v>
      </c>
      <c r="O90" s="17" t="n">
        <v>0</v>
      </c>
      <c r="P90" s="17" t="n">
        <f aca="false">I90*(1+M90/100+N90/100+O90/100)+J90+L90/100*K90</f>
        <v>31.7824</v>
      </c>
      <c r="Q90" s="17" t="n">
        <f aca="false">P90/(1+J90/100+L90/100*K90/100)</f>
        <v>30.6247831952207</v>
      </c>
      <c r="R90" s="16" t="n">
        <v>1</v>
      </c>
      <c r="S90" s="16" t="n">
        <v>1</v>
      </c>
      <c r="T90" s="6" t="s">
        <v>142</v>
      </c>
    </row>
    <row r="91" customFormat="false" ht="23.25" hidden="false" customHeight="true" outlineLevel="0" collapsed="false">
      <c r="A91" s="16" t="s">
        <v>31</v>
      </c>
      <c r="B91" s="16" t="s">
        <v>32</v>
      </c>
      <c r="C91" s="16" t="s">
        <v>143</v>
      </c>
      <c r="D91" s="16" t="s">
        <v>144</v>
      </c>
      <c r="E91" s="16" t="s">
        <v>131</v>
      </c>
      <c r="F91" s="16" t="s">
        <v>145</v>
      </c>
      <c r="G91" s="16" t="s">
        <v>133</v>
      </c>
      <c r="H91" s="16" t="s">
        <v>146</v>
      </c>
      <c r="I91" s="17" t="n">
        <v>15</v>
      </c>
      <c r="J91" s="17" t="n">
        <v>7</v>
      </c>
      <c r="K91" s="17" t="n">
        <v>7</v>
      </c>
      <c r="L91" s="17" t="n">
        <v>37</v>
      </c>
      <c r="M91" s="17" t="n">
        <v>10.3</v>
      </c>
      <c r="N91" s="17" t="n">
        <v>10.4</v>
      </c>
      <c r="O91" s="17" t="n">
        <v>0</v>
      </c>
      <c r="P91" s="17" t="n">
        <f aca="false">I91*(1+M91/100+N91/100+O91/100)+J91+L91/100*K91</f>
        <v>27.695</v>
      </c>
      <c r="Q91" s="17" t="n">
        <f aca="false">P91/(1+J91/100+L91/100*K91/100)</f>
        <v>25.2714663746692</v>
      </c>
      <c r="R91" s="16" t="n">
        <v>0</v>
      </c>
      <c r="S91" s="16" t="n">
        <v>1</v>
      </c>
      <c r="T91" s="6" t="s">
        <v>147</v>
      </c>
    </row>
    <row r="92" customFormat="false" ht="23.25" hidden="false" customHeight="true" outlineLevel="0" collapsed="false">
      <c r="A92" s="16" t="s">
        <v>31</v>
      </c>
      <c r="B92" s="16" t="s">
        <v>32</v>
      </c>
      <c r="C92" s="16" t="s">
        <v>143</v>
      </c>
      <c r="D92" s="16" t="s">
        <v>144</v>
      </c>
      <c r="E92" s="16" t="s">
        <v>131</v>
      </c>
      <c r="F92" s="16" t="s">
        <v>145</v>
      </c>
      <c r="G92" s="16" t="s">
        <v>136</v>
      </c>
      <c r="H92" s="16" t="s">
        <v>146</v>
      </c>
      <c r="I92" s="17" t="n">
        <v>15</v>
      </c>
      <c r="J92" s="17" t="n">
        <v>7.48</v>
      </c>
      <c r="K92" s="17" t="n">
        <v>7</v>
      </c>
      <c r="L92" s="17" t="n">
        <v>37</v>
      </c>
      <c r="M92" s="17" t="n">
        <v>10.3</v>
      </c>
      <c r="N92" s="17" t="n">
        <v>10.4</v>
      </c>
      <c r="O92" s="17" t="n">
        <v>0</v>
      </c>
      <c r="P92" s="17" t="n">
        <f aca="false">I92*(1+M92/100+N92/100+O92/100)+J92+L92/100*K92</f>
        <v>28.175</v>
      </c>
      <c r="Q92" s="17" t="n">
        <f aca="false">P92/(1+J92/100+L92/100*K92/100)</f>
        <v>25.5973471427274</v>
      </c>
      <c r="R92" s="16" t="n">
        <v>0</v>
      </c>
      <c r="S92" s="16" t="n">
        <v>1</v>
      </c>
      <c r="T92" s="6" t="s">
        <v>147</v>
      </c>
    </row>
    <row r="93" customFormat="false" ht="34.5" hidden="false" customHeight="true" outlineLevel="0" collapsed="false">
      <c r="A93" s="16" t="s">
        <v>31</v>
      </c>
      <c r="B93" s="16" t="s">
        <v>32</v>
      </c>
      <c r="C93" s="16" t="s">
        <v>143</v>
      </c>
      <c r="D93" s="16" t="s">
        <v>148</v>
      </c>
      <c r="E93" s="16" t="s">
        <v>131</v>
      </c>
      <c r="F93" s="16" t="s">
        <v>145</v>
      </c>
      <c r="G93" s="16" t="s">
        <v>136</v>
      </c>
      <c r="H93" s="16" t="s">
        <v>149</v>
      </c>
      <c r="I93" s="17" t="n">
        <v>19</v>
      </c>
      <c r="J93" s="17" t="n">
        <v>7.48</v>
      </c>
      <c r="K93" s="17" t="n">
        <v>7</v>
      </c>
      <c r="L93" s="17" t="n">
        <v>37</v>
      </c>
      <c r="M93" s="17" t="n">
        <v>10.3</v>
      </c>
      <c r="N93" s="17" t="n">
        <v>10.4</v>
      </c>
      <c r="O93" s="17" t="n">
        <v>0</v>
      </c>
      <c r="P93" s="17" t="n">
        <f aca="false">I93*(1+M93/100+N93/100+O93/100)+J93+L93/100*K93</f>
        <v>33.003</v>
      </c>
      <c r="Q93" s="17" t="n">
        <f aca="false">P93/(1+J93/100+L93/100*K93/100)</f>
        <v>29.9836467702371</v>
      </c>
      <c r="R93" s="16" t="n">
        <v>0</v>
      </c>
      <c r="S93" s="16" t="n">
        <v>1</v>
      </c>
      <c r="T93" s="6" t="s">
        <v>150</v>
      </c>
    </row>
    <row r="94" customFormat="false" ht="23.25" hidden="false" customHeight="true" outlineLevel="0" collapsed="false">
      <c r="A94" s="16" t="s">
        <v>31</v>
      </c>
      <c r="B94" s="16" t="s">
        <v>32</v>
      </c>
      <c r="C94" s="16" t="s">
        <v>143</v>
      </c>
      <c r="D94" s="16" t="s">
        <v>148</v>
      </c>
      <c r="E94" s="16" t="s">
        <v>131</v>
      </c>
      <c r="F94" s="16" t="s">
        <v>132</v>
      </c>
      <c r="G94" s="16" t="s">
        <v>136</v>
      </c>
      <c r="H94" s="16" t="s">
        <v>149</v>
      </c>
      <c r="I94" s="17" t="n">
        <v>19</v>
      </c>
      <c r="J94" s="17" t="n">
        <v>3.75</v>
      </c>
      <c r="K94" s="17" t="n">
        <v>3.5</v>
      </c>
      <c r="L94" s="17" t="n">
        <v>37</v>
      </c>
      <c r="M94" s="17" t="n">
        <v>10.3</v>
      </c>
      <c r="N94" s="17" t="n">
        <v>10.4</v>
      </c>
      <c r="O94" s="17" t="n">
        <v>0</v>
      </c>
      <c r="P94" s="17" t="n">
        <f aca="false">I94*(1+M94/100+N94/100+O94/100)+J94+L94/100*K94</f>
        <v>27.978</v>
      </c>
      <c r="Q94" s="17" t="n">
        <f aca="false">P94/(1+J94/100+L94/100*K94/100)</f>
        <v>26.6342995858918</v>
      </c>
      <c r="R94" s="16" t="n">
        <v>0</v>
      </c>
      <c r="S94" s="16" t="n">
        <v>1</v>
      </c>
      <c r="T94" s="6" t="s">
        <v>151</v>
      </c>
    </row>
    <row r="95" customFormat="false" ht="23.25" hidden="false" customHeight="true" outlineLevel="0" collapsed="false">
      <c r="A95" s="16" t="s">
        <v>31</v>
      </c>
      <c r="B95" s="16" t="s">
        <v>32</v>
      </c>
      <c r="C95" s="16" t="s">
        <v>143</v>
      </c>
      <c r="D95" s="16" t="s">
        <v>148</v>
      </c>
      <c r="E95" s="16" t="s">
        <v>131</v>
      </c>
      <c r="F95" s="16" t="s">
        <v>138</v>
      </c>
      <c r="G95" s="16" t="s">
        <v>136</v>
      </c>
      <c r="H95" s="16" t="s">
        <v>149</v>
      </c>
      <c r="I95" s="17" t="n">
        <v>19</v>
      </c>
      <c r="J95" s="17" t="n">
        <v>5.665</v>
      </c>
      <c r="K95" s="17" t="n">
        <v>5.3</v>
      </c>
      <c r="L95" s="17" t="n">
        <v>37</v>
      </c>
      <c r="M95" s="17" t="n">
        <v>10.3</v>
      </c>
      <c r="N95" s="17" t="n">
        <v>10.4</v>
      </c>
      <c r="O95" s="17" t="n">
        <v>0</v>
      </c>
      <c r="P95" s="17" t="n">
        <f aca="false">I95*(1+M95/100+N95/100+O95/100)+J95+L95/100*K95</f>
        <v>30.559</v>
      </c>
      <c r="Q95" s="17" t="n">
        <f aca="false">P95/(1+J95/100+L95/100*K95/100)</f>
        <v>28.3936966903908</v>
      </c>
      <c r="R95" s="16" t="n">
        <v>0</v>
      </c>
      <c r="S95" s="16" t="n">
        <v>1</v>
      </c>
      <c r="T95" s="6" t="s">
        <v>151</v>
      </c>
    </row>
    <row r="96" customFormat="false" ht="15" hidden="false" customHeight="true" outlineLevel="0" collapsed="false">
      <c r="A96" s="16" t="s">
        <v>34</v>
      </c>
      <c r="B96" s="16" t="s">
        <v>35</v>
      </c>
      <c r="C96" s="16" t="s">
        <v>129</v>
      </c>
      <c r="D96" s="16" t="s">
        <v>130</v>
      </c>
      <c r="E96" s="16" t="s">
        <v>131</v>
      </c>
      <c r="F96" s="16" t="s">
        <v>132</v>
      </c>
      <c r="G96" s="16" t="s">
        <v>133</v>
      </c>
      <c r="H96" s="16" t="s">
        <v>134</v>
      </c>
      <c r="I96" s="17" t="n">
        <v>15</v>
      </c>
      <c r="J96" s="17" t="n">
        <v>3.5</v>
      </c>
      <c r="K96" s="17" t="n">
        <v>3.5</v>
      </c>
      <c r="L96" s="17" t="n">
        <v>37</v>
      </c>
      <c r="M96" s="17" t="n">
        <v>10.3</v>
      </c>
      <c r="N96" s="17" t="n">
        <v>10.4</v>
      </c>
      <c r="O96" s="17" t="n">
        <v>0</v>
      </c>
      <c r="P96" s="17" t="n">
        <f aca="false">I96*(1+M96/100+N96/100+O96/100)+J96+L96/100*K96</f>
        <v>22.9</v>
      </c>
      <c r="Q96" s="17" t="n">
        <f aca="false">P96/(1+J96/100+L96/100*K96/100)</f>
        <v>21.8521876043704</v>
      </c>
      <c r="R96" s="16" t="n">
        <v>1</v>
      </c>
      <c r="S96" s="16" t="n">
        <v>1</v>
      </c>
      <c r="T96" s="6" t="s">
        <v>135</v>
      </c>
    </row>
    <row r="97" customFormat="false" ht="15" hidden="false" customHeight="true" outlineLevel="0" collapsed="false">
      <c r="A97" s="16" t="s">
        <v>34</v>
      </c>
      <c r="B97" s="16" t="s">
        <v>35</v>
      </c>
      <c r="C97" s="16" t="s">
        <v>129</v>
      </c>
      <c r="D97" s="16" t="s">
        <v>130</v>
      </c>
      <c r="E97" s="16" t="s">
        <v>131</v>
      </c>
      <c r="F97" s="16" t="s">
        <v>132</v>
      </c>
      <c r="G97" s="16" t="s">
        <v>136</v>
      </c>
      <c r="H97" s="16" t="s">
        <v>134</v>
      </c>
      <c r="I97" s="17" t="n">
        <v>15</v>
      </c>
      <c r="J97" s="17" t="n">
        <v>3.75</v>
      </c>
      <c r="K97" s="17" t="n">
        <v>3.5</v>
      </c>
      <c r="L97" s="17" t="n">
        <v>37</v>
      </c>
      <c r="M97" s="17" t="n">
        <v>10.3</v>
      </c>
      <c r="N97" s="17" t="n">
        <v>10.4</v>
      </c>
      <c r="O97" s="17" t="n">
        <v>0</v>
      </c>
      <c r="P97" s="17" t="n">
        <f aca="false">I97*(1+M97/100+N97/100+O97/100)+J97+L97/100*K97</f>
        <v>23.15</v>
      </c>
      <c r="Q97" s="17" t="n">
        <f aca="false">P97/(1+J97/100+L97/100*K97/100)</f>
        <v>22.0381741158551</v>
      </c>
      <c r="R97" s="16" t="n">
        <v>1</v>
      </c>
      <c r="S97" s="16" t="n">
        <v>1</v>
      </c>
      <c r="T97" s="6" t="s">
        <v>137</v>
      </c>
    </row>
    <row r="98" customFormat="false" ht="15" hidden="false" customHeight="true" outlineLevel="0" collapsed="false">
      <c r="A98" s="16" t="s">
        <v>34</v>
      </c>
      <c r="B98" s="16" t="s">
        <v>35</v>
      </c>
      <c r="C98" s="16" t="s">
        <v>129</v>
      </c>
      <c r="D98" s="16" t="s">
        <v>130</v>
      </c>
      <c r="E98" s="16" t="s">
        <v>131</v>
      </c>
      <c r="F98" s="16" t="s">
        <v>138</v>
      </c>
      <c r="G98" s="16" t="s">
        <v>133</v>
      </c>
      <c r="H98" s="16" t="s">
        <v>134</v>
      </c>
      <c r="I98" s="17" t="n">
        <v>15</v>
      </c>
      <c r="J98" s="17" t="n">
        <v>5.3</v>
      </c>
      <c r="K98" s="17" t="n">
        <v>5.3</v>
      </c>
      <c r="L98" s="17" t="n">
        <v>37</v>
      </c>
      <c r="M98" s="17" t="n">
        <v>10.3</v>
      </c>
      <c r="N98" s="17" t="n">
        <v>10.4</v>
      </c>
      <c r="O98" s="17" t="n">
        <v>0</v>
      </c>
      <c r="P98" s="17" t="n">
        <f aca="false">I98*(1+M98/100+N98/100+O98/100)+J98+L98/100*K98</f>
        <v>25.366</v>
      </c>
      <c r="Q98" s="17" t="n">
        <f aca="false">P98/(1+J98/100+L98/100*K98/100)</f>
        <v>23.6488565275356</v>
      </c>
      <c r="R98" s="16" t="n">
        <v>1</v>
      </c>
      <c r="S98" s="16" t="n">
        <v>1</v>
      </c>
      <c r="T98" s="6" t="s">
        <v>135</v>
      </c>
    </row>
    <row r="99" customFormat="false" ht="15" hidden="false" customHeight="true" outlineLevel="0" collapsed="false">
      <c r="A99" s="16" t="s">
        <v>34</v>
      </c>
      <c r="B99" s="16" t="s">
        <v>35</v>
      </c>
      <c r="C99" s="16" t="s">
        <v>129</v>
      </c>
      <c r="D99" s="16" t="s">
        <v>130</v>
      </c>
      <c r="E99" s="16" t="s">
        <v>131</v>
      </c>
      <c r="F99" s="16" t="s">
        <v>138</v>
      </c>
      <c r="G99" s="16" t="s">
        <v>136</v>
      </c>
      <c r="H99" s="16" t="s">
        <v>134</v>
      </c>
      <c r="I99" s="17" t="n">
        <v>15</v>
      </c>
      <c r="J99" s="17" t="n">
        <v>5.665</v>
      </c>
      <c r="K99" s="17" t="n">
        <v>5.3</v>
      </c>
      <c r="L99" s="17" t="n">
        <v>37</v>
      </c>
      <c r="M99" s="17" t="n">
        <v>10.3</v>
      </c>
      <c r="N99" s="17" t="n">
        <v>10.4</v>
      </c>
      <c r="O99" s="17" t="n">
        <v>0</v>
      </c>
      <c r="P99" s="17" t="n">
        <f aca="false">I99*(1+M99/100+N99/100+O99/100)+J99+L99/100*K99</f>
        <v>25.731</v>
      </c>
      <c r="Q99" s="17" t="n">
        <f aca="false">P99/(1+J99/100+L99/100*K99/100)</f>
        <v>23.907791797521</v>
      </c>
      <c r="R99" s="16" t="n">
        <v>1</v>
      </c>
      <c r="S99" s="16" t="n">
        <v>1</v>
      </c>
      <c r="T99" s="6" t="s">
        <v>137</v>
      </c>
    </row>
    <row r="100" customFormat="false" ht="15" hidden="false" customHeight="true" outlineLevel="0" collapsed="false">
      <c r="A100" s="16" t="s">
        <v>34</v>
      </c>
      <c r="B100" s="16" t="s">
        <v>35</v>
      </c>
      <c r="C100" s="16" t="s">
        <v>129</v>
      </c>
      <c r="D100" s="16" t="s">
        <v>130</v>
      </c>
      <c r="E100" s="16" t="s">
        <v>131</v>
      </c>
      <c r="F100" s="16" t="s">
        <v>139</v>
      </c>
      <c r="G100" s="16" t="s">
        <v>133</v>
      </c>
      <c r="H100" s="16" t="s">
        <v>140</v>
      </c>
      <c r="I100" s="17" t="n">
        <v>23.2</v>
      </c>
      <c r="J100" s="17" t="n">
        <v>7</v>
      </c>
      <c r="K100" s="17" t="n">
        <v>7</v>
      </c>
      <c r="L100" s="17" t="n">
        <v>37</v>
      </c>
      <c r="M100" s="17" t="n">
        <v>10.3</v>
      </c>
      <c r="N100" s="17" t="n">
        <v>10.4</v>
      </c>
      <c r="O100" s="17" t="n">
        <v>0</v>
      </c>
      <c r="P100" s="17" t="n">
        <f aca="false">I100*(1+M100/100+N100/100+O100/100)+J100+L100/100*K100</f>
        <v>37.5924</v>
      </c>
      <c r="Q100" s="17" t="n">
        <f aca="false">P100/(1+J100/100+L100/100*K100/100)</f>
        <v>34.3027648508076</v>
      </c>
      <c r="R100" s="16" t="n">
        <v>1</v>
      </c>
      <c r="S100" s="16" t="n">
        <v>1</v>
      </c>
      <c r="T100" s="6" t="s">
        <v>135</v>
      </c>
    </row>
    <row r="101" customFormat="false" ht="15" hidden="false" customHeight="true" outlineLevel="0" collapsed="false">
      <c r="A101" s="16" t="s">
        <v>34</v>
      </c>
      <c r="B101" s="16" t="s">
        <v>35</v>
      </c>
      <c r="C101" s="16" t="s">
        <v>129</v>
      </c>
      <c r="D101" s="16" t="s">
        <v>130</v>
      </c>
      <c r="E101" s="16" t="s">
        <v>131</v>
      </c>
      <c r="F101" s="16" t="s">
        <v>139</v>
      </c>
      <c r="G101" s="16" t="s">
        <v>136</v>
      </c>
      <c r="H101" s="16" t="s">
        <v>140</v>
      </c>
      <c r="I101" s="17" t="n">
        <v>23.2</v>
      </c>
      <c r="J101" s="17" t="n">
        <v>7.48</v>
      </c>
      <c r="K101" s="17" t="n">
        <v>7</v>
      </c>
      <c r="L101" s="17" t="n">
        <v>37</v>
      </c>
      <c r="M101" s="17" t="n">
        <v>10.3</v>
      </c>
      <c r="N101" s="17" t="n">
        <v>10.4</v>
      </c>
      <c r="O101" s="17" t="n">
        <v>0</v>
      </c>
      <c r="P101" s="17" t="n">
        <f aca="false">I101*(1+M101/100+N101/100+O101/100)+J101+L101/100*K101</f>
        <v>38.0724</v>
      </c>
      <c r="Q101" s="17" t="n">
        <f aca="false">P101/(1+J101/100+L101/100*K101/100)</f>
        <v>34.5892613791224</v>
      </c>
      <c r="R101" s="16" t="n">
        <v>1</v>
      </c>
      <c r="S101" s="16" t="n">
        <v>1</v>
      </c>
      <c r="T101" s="6" t="s">
        <v>137</v>
      </c>
    </row>
    <row r="102" customFormat="false" ht="15" hidden="false" customHeight="true" outlineLevel="0" collapsed="false">
      <c r="A102" s="16" t="s">
        <v>34</v>
      </c>
      <c r="B102" s="16" t="s">
        <v>35</v>
      </c>
      <c r="C102" s="16" t="s">
        <v>129</v>
      </c>
      <c r="D102" s="16" t="s">
        <v>130</v>
      </c>
      <c r="E102" s="16" t="s">
        <v>141</v>
      </c>
      <c r="F102" s="16" t="s">
        <v>132</v>
      </c>
      <c r="G102" s="16" t="s">
        <v>136</v>
      </c>
      <c r="H102" s="16" t="s">
        <v>140</v>
      </c>
      <c r="I102" s="17" t="n">
        <v>23.2</v>
      </c>
      <c r="J102" s="17" t="n">
        <v>0.495</v>
      </c>
      <c r="K102" s="17" t="n">
        <v>0.4</v>
      </c>
      <c r="L102" s="17" t="n">
        <v>260</v>
      </c>
      <c r="M102" s="17" t="n">
        <v>10.3</v>
      </c>
      <c r="N102" s="17" t="n">
        <v>10.4</v>
      </c>
      <c r="O102" s="17" t="n">
        <v>0</v>
      </c>
      <c r="P102" s="17" t="n">
        <f aca="false">I102*(1+M102/100+N102/100+O102/100)+J102+L102/100*K102</f>
        <v>29.5374</v>
      </c>
      <c r="Q102" s="17" t="n">
        <f aca="false">P102/(1+J102/100+L102/100*K102/100)</f>
        <v>29.0908553700694</v>
      </c>
      <c r="R102" s="16" t="n">
        <v>1</v>
      </c>
      <c r="S102" s="16" t="n">
        <v>1</v>
      </c>
      <c r="T102" s="6" t="s">
        <v>142</v>
      </c>
    </row>
    <row r="103" customFormat="false" ht="15" hidden="false" customHeight="true" outlineLevel="0" collapsed="false">
      <c r="A103" s="16" t="s">
        <v>34</v>
      </c>
      <c r="B103" s="16" t="s">
        <v>35</v>
      </c>
      <c r="C103" s="16" t="s">
        <v>129</v>
      </c>
      <c r="D103" s="16" t="s">
        <v>130</v>
      </c>
      <c r="E103" s="16" t="s">
        <v>141</v>
      </c>
      <c r="F103" s="16" t="s">
        <v>138</v>
      </c>
      <c r="G103" s="16" t="s">
        <v>136</v>
      </c>
      <c r="H103" s="16" t="s">
        <v>140</v>
      </c>
      <c r="I103" s="17" t="n">
        <v>23.2</v>
      </c>
      <c r="J103" s="17" t="n">
        <v>0.835</v>
      </c>
      <c r="K103" s="17" t="n">
        <v>0.7</v>
      </c>
      <c r="L103" s="17" t="n">
        <v>260</v>
      </c>
      <c r="M103" s="17" t="n">
        <v>10.3</v>
      </c>
      <c r="N103" s="17" t="n">
        <v>10.4</v>
      </c>
      <c r="O103" s="17" t="n">
        <v>0</v>
      </c>
      <c r="P103" s="17" t="n">
        <f aca="false">I103*(1+M103/100+N103/100+O103/100)+J103+L103/100*K103</f>
        <v>30.6574</v>
      </c>
      <c r="Q103" s="17" t="n">
        <f aca="false">P103/(1+J103/100+L103/100*K103/100)</f>
        <v>29.8644975890117</v>
      </c>
      <c r="R103" s="16" t="n">
        <v>1</v>
      </c>
      <c r="S103" s="16" t="n">
        <v>1</v>
      </c>
      <c r="T103" s="6" t="s">
        <v>142</v>
      </c>
    </row>
    <row r="104" customFormat="false" ht="15" hidden="false" customHeight="true" outlineLevel="0" collapsed="false">
      <c r="A104" s="16" t="s">
        <v>34</v>
      </c>
      <c r="B104" s="16" t="s">
        <v>35</v>
      </c>
      <c r="C104" s="16" t="s">
        <v>129</v>
      </c>
      <c r="D104" s="16" t="s">
        <v>130</v>
      </c>
      <c r="E104" s="16" t="s">
        <v>141</v>
      </c>
      <c r="F104" s="16" t="s">
        <v>139</v>
      </c>
      <c r="G104" s="16" t="s">
        <v>136</v>
      </c>
      <c r="H104" s="16" t="s">
        <v>140</v>
      </c>
      <c r="I104" s="17" t="n">
        <v>23.2</v>
      </c>
      <c r="J104" s="17" t="n">
        <v>1.18</v>
      </c>
      <c r="K104" s="17" t="n">
        <v>1</v>
      </c>
      <c r="L104" s="17" t="n">
        <v>260</v>
      </c>
      <c r="M104" s="17" t="n">
        <v>10.3</v>
      </c>
      <c r="N104" s="17" t="n">
        <v>10.4</v>
      </c>
      <c r="O104" s="17" t="n">
        <v>0</v>
      </c>
      <c r="P104" s="17" t="n">
        <f aca="false">I104*(1+M104/100+N104/100+O104/100)+J104+L104/100*K104</f>
        <v>31.7824</v>
      </c>
      <c r="Q104" s="17" t="n">
        <f aca="false">P104/(1+J104/100+L104/100*K104/100)</f>
        <v>30.6247831952207</v>
      </c>
      <c r="R104" s="16" t="n">
        <v>1</v>
      </c>
      <c r="S104" s="16" t="n">
        <v>1</v>
      </c>
      <c r="T104" s="6" t="s">
        <v>142</v>
      </c>
    </row>
    <row r="105" customFormat="false" ht="23.25" hidden="false" customHeight="true" outlineLevel="0" collapsed="false">
      <c r="A105" s="16" t="s">
        <v>34</v>
      </c>
      <c r="B105" s="16" t="s">
        <v>35</v>
      </c>
      <c r="C105" s="16" t="s">
        <v>143</v>
      </c>
      <c r="D105" s="16" t="s">
        <v>144</v>
      </c>
      <c r="E105" s="16" t="s">
        <v>131</v>
      </c>
      <c r="F105" s="16" t="s">
        <v>145</v>
      </c>
      <c r="G105" s="16" t="s">
        <v>133</v>
      </c>
      <c r="H105" s="16" t="s">
        <v>146</v>
      </c>
      <c r="I105" s="17" t="n">
        <v>15</v>
      </c>
      <c r="J105" s="17" t="n">
        <v>7</v>
      </c>
      <c r="K105" s="17" t="n">
        <v>7</v>
      </c>
      <c r="L105" s="17" t="n">
        <v>37</v>
      </c>
      <c r="M105" s="17" t="n">
        <v>10.3</v>
      </c>
      <c r="N105" s="17" t="n">
        <v>10.4</v>
      </c>
      <c r="O105" s="17" t="n">
        <v>0</v>
      </c>
      <c r="P105" s="17" t="n">
        <f aca="false">I105*(1+M105/100+N105/100+O105/100)+J105+L105/100*K105</f>
        <v>27.695</v>
      </c>
      <c r="Q105" s="17" t="n">
        <f aca="false">P105/(1+J105/100+L105/100*K105/100)</f>
        <v>25.2714663746692</v>
      </c>
      <c r="R105" s="16" t="n">
        <v>0</v>
      </c>
      <c r="S105" s="16" t="n">
        <v>1</v>
      </c>
      <c r="T105" s="6" t="s">
        <v>147</v>
      </c>
    </row>
    <row r="106" customFormat="false" ht="23.25" hidden="false" customHeight="true" outlineLevel="0" collapsed="false">
      <c r="A106" s="16" t="s">
        <v>34</v>
      </c>
      <c r="B106" s="16" t="s">
        <v>35</v>
      </c>
      <c r="C106" s="16" t="s">
        <v>143</v>
      </c>
      <c r="D106" s="16" t="s">
        <v>144</v>
      </c>
      <c r="E106" s="16" t="s">
        <v>131</v>
      </c>
      <c r="F106" s="16" t="s">
        <v>145</v>
      </c>
      <c r="G106" s="16" t="s">
        <v>136</v>
      </c>
      <c r="H106" s="16" t="s">
        <v>146</v>
      </c>
      <c r="I106" s="17" t="n">
        <v>15</v>
      </c>
      <c r="J106" s="17" t="n">
        <v>7.48</v>
      </c>
      <c r="K106" s="17" t="n">
        <v>7</v>
      </c>
      <c r="L106" s="17" t="n">
        <v>37</v>
      </c>
      <c r="M106" s="17" t="n">
        <v>10.3</v>
      </c>
      <c r="N106" s="17" t="n">
        <v>10.4</v>
      </c>
      <c r="O106" s="17" t="n">
        <v>0</v>
      </c>
      <c r="P106" s="17" t="n">
        <f aca="false">I106*(1+M106/100+N106/100+O106/100)+J106+L106/100*K106</f>
        <v>28.175</v>
      </c>
      <c r="Q106" s="17" t="n">
        <f aca="false">P106/(1+J106/100+L106/100*K106/100)</f>
        <v>25.5973471427274</v>
      </c>
      <c r="R106" s="16" t="n">
        <v>0</v>
      </c>
      <c r="S106" s="16" t="n">
        <v>1</v>
      </c>
      <c r="T106" s="6" t="s">
        <v>147</v>
      </c>
    </row>
    <row r="107" customFormat="false" ht="34.5" hidden="false" customHeight="true" outlineLevel="0" collapsed="false">
      <c r="A107" s="16" t="s">
        <v>34</v>
      </c>
      <c r="B107" s="16" t="s">
        <v>35</v>
      </c>
      <c r="C107" s="16" t="s">
        <v>143</v>
      </c>
      <c r="D107" s="16" t="s">
        <v>148</v>
      </c>
      <c r="E107" s="16" t="s">
        <v>131</v>
      </c>
      <c r="F107" s="16" t="s">
        <v>145</v>
      </c>
      <c r="G107" s="16" t="s">
        <v>136</v>
      </c>
      <c r="H107" s="16" t="s">
        <v>149</v>
      </c>
      <c r="I107" s="17" t="n">
        <v>19</v>
      </c>
      <c r="J107" s="17" t="n">
        <v>7.48</v>
      </c>
      <c r="K107" s="17" t="n">
        <v>7</v>
      </c>
      <c r="L107" s="17" t="n">
        <v>37</v>
      </c>
      <c r="M107" s="17" t="n">
        <v>10.3</v>
      </c>
      <c r="N107" s="17" t="n">
        <v>10.4</v>
      </c>
      <c r="O107" s="17" t="n">
        <v>0</v>
      </c>
      <c r="P107" s="17" t="n">
        <f aca="false">I107*(1+M107/100+N107/100+O107/100)+J107+L107/100*K107</f>
        <v>33.003</v>
      </c>
      <c r="Q107" s="17" t="n">
        <f aca="false">P107/(1+J107/100+L107/100*K107/100)</f>
        <v>29.9836467702371</v>
      </c>
      <c r="R107" s="16" t="n">
        <v>0</v>
      </c>
      <c r="S107" s="16" t="n">
        <v>1</v>
      </c>
      <c r="T107" s="6" t="s">
        <v>150</v>
      </c>
    </row>
    <row r="108" customFormat="false" ht="23.25" hidden="false" customHeight="true" outlineLevel="0" collapsed="false">
      <c r="A108" s="16" t="s">
        <v>34</v>
      </c>
      <c r="B108" s="16" t="s">
        <v>35</v>
      </c>
      <c r="C108" s="16" t="s">
        <v>143</v>
      </c>
      <c r="D108" s="16" t="s">
        <v>148</v>
      </c>
      <c r="E108" s="16" t="s">
        <v>131</v>
      </c>
      <c r="F108" s="16" t="s">
        <v>132</v>
      </c>
      <c r="G108" s="16" t="s">
        <v>136</v>
      </c>
      <c r="H108" s="16" t="s">
        <v>149</v>
      </c>
      <c r="I108" s="17" t="n">
        <v>19</v>
      </c>
      <c r="J108" s="17" t="n">
        <v>3.75</v>
      </c>
      <c r="K108" s="17" t="n">
        <v>3.5</v>
      </c>
      <c r="L108" s="17" t="n">
        <v>37</v>
      </c>
      <c r="M108" s="17" t="n">
        <v>10.3</v>
      </c>
      <c r="N108" s="17" t="n">
        <v>10.4</v>
      </c>
      <c r="O108" s="17" t="n">
        <v>0</v>
      </c>
      <c r="P108" s="17" t="n">
        <f aca="false">I108*(1+M108/100+N108/100+O108/100)+J108+L108/100*K108</f>
        <v>27.978</v>
      </c>
      <c r="Q108" s="17" t="n">
        <f aca="false">P108/(1+J108/100+L108/100*K108/100)</f>
        <v>26.6342995858918</v>
      </c>
      <c r="R108" s="16" t="n">
        <v>0</v>
      </c>
      <c r="S108" s="16" t="n">
        <v>1</v>
      </c>
      <c r="T108" s="6" t="s">
        <v>151</v>
      </c>
    </row>
    <row r="109" customFormat="false" ht="23.25" hidden="false" customHeight="true" outlineLevel="0" collapsed="false">
      <c r="A109" s="16" t="s">
        <v>34</v>
      </c>
      <c r="B109" s="16" t="s">
        <v>35</v>
      </c>
      <c r="C109" s="16" t="s">
        <v>143</v>
      </c>
      <c r="D109" s="16" t="s">
        <v>148</v>
      </c>
      <c r="E109" s="16" t="s">
        <v>131</v>
      </c>
      <c r="F109" s="16" t="s">
        <v>138</v>
      </c>
      <c r="G109" s="16" t="s">
        <v>136</v>
      </c>
      <c r="H109" s="16" t="s">
        <v>149</v>
      </c>
      <c r="I109" s="17" t="n">
        <v>19</v>
      </c>
      <c r="J109" s="17" t="n">
        <v>5.665</v>
      </c>
      <c r="K109" s="17" t="n">
        <v>5.3</v>
      </c>
      <c r="L109" s="17" t="n">
        <v>37</v>
      </c>
      <c r="M109" s="17" t="n">
        <v>10.3</v>
      </c>
      <c r="N109" s="17" t="n">
        <v>10.4</v>
      </c>
      <c r="O109" s="17" t="n">
        <v>0</v>
      </c>
      <c r="P109" s="17" t="n">
        <f aca="false">I109*(1+M109/100+N109/100+O109/100)+J109+L109/100*K109</f>
        <v>30.559</v>
      </c>
      <c r="Q109" s="17" t="n">
        <f aca="false">P109/(1+J109/100+L109/100*K109/100)</f>
        <v>28.3936966903908</v>
      </c>
      <c r="R109" s="16" t="n">
        <v>0</v>
      </c>
      <c r="S109" s="16" t="n">
        <v>1</v>
      </c>
      <c r="T109" s="6" t="s">
        <v>151</v>
      </c>
    </row>
    <row r="110" customFormat="false" ht="15" hidden="false" customHeight="true" outlineLevel="0" collapsed="false">
      <c r="A110" s="16" t="s">
        <v>36</v>
      </c>
      <c r="B110" s="16" t="s">
        <v>37</v>
      </c>
      <c r="C110" s="16" t="s">
        <v>129</v>
      </c>
      <c r="D110" s="16" t="s">
        <v>130</v>
      </c>
      <c r="E110" s="16" t="s">
        <v>131</v>
      </c>
      <c r="F110" s="16" t="s">
        <v>132</v>
      </c>
      <c r="G110" s="16" t="s">
        <v>133</v>
      </c>
      <c r="H110" s="16" t="s">
        <v>134</v>
      </c>
      <c r="I110" s="17" t="n">
        <v>15</v>
      </c>
      <c r="J110" s="17" t="n">
        <v>3.5</v>
      </c>
      <c r="K110" s="17" t="n">
        <v>3.5</v>
      </c>
      <c r="L110" s="17" t="n">
        <v>37</v>
      </c>
      <c r="M110" s="17" t="n">
        <v>10.3</v>
      </c>
      <c r="N110" s="17" t="n">
        <v>10.4</v>
      </c>
      <c r="O110" s="17" t="n">
        <v>0</v>
      </c>
      <c r="P110" s="17" t="n">
        <f aca="false">I110*(1+M110/100+N110/100+O110/100)+J110+L110/100*K110</f>
        <v>22.9</v>
      </c>
      <c r="Q110" s="17" t="n">
        <f aca="false">P110/(1+J110/100+L110/100*K110/100)</f>
        <v>21.8521876043704</v>
      </c>
      <c r="R110" s="16" t="n">
        <v>1</v>
      </c>
      <c r="S110" s="16" t="n">
        <v>1</v>
      </c>
      <c r="T110" s="6" t="s">
        <v>135</v>
      </c>
    </row>
    <row r="111" customFormat="false" ht="15" hidden="false" customHeight="true" outlineLevel="0" collapsed="false">
      <c r="A111" s="16" t="s">
        <v>36</v>
      </c>
      <c r="B111" s="16" t="s">
        <v>37</v>
      </c>
      <c r="C111" s="16" t="s">
        <v>129</v>
      </c>
      <c r="D111" s="16" t="s">
        <v>130</v>
      </c>
      <c r="E111" s="16" t="s">
        <v>131</v>
      </c>
      <c r="F111" s="16" t="s">
        <v>132</v>
      </c>
      <c r="G111" s="16" t="s">
        <v>136</v>
      </c>
      <c r="H111" s="16" t="s">
        <v>134</v>
      </c>
      <c r="I111" s="17" t="n">
        <v>15</v>
      </c>
      <c r="J111" s="17" t="n">
        <v>3.75</v>
      </c>
      <c r="K111" s="17" t="n">
        <v>3.5</v>
      </c>
      <c r="L111" s="17" t="n">
        <v>37</v>
      </c>
      <c r="M111" s="17" t="n">
        <v>10.3</v>
      </c>
      <c r="N111" s="17" t="n">
        <v>10.4</v>
      </c>
      <c r="O111" s="17" t="n">
        <v>0</v>
      </c>
      <c r="P111" s="17" t="n">
        <f aca="false">I111*(1+M111/100+N111/100+O111/100)+J111+L111/100*K111</f>
        <v>23.15</v>
      </c>
      <c r="Q111" s="17" t="n">
        <f aca="false">P111/(1+J111/100+L111/100*K111/100)</f>
        <v>22.0381741158551</v>
      </c>
      <c r="R111" s="16" t="n">
        <v>1</v>
      </c>
      <c r="S111" s="16" t="n">
        <v>1</v>
      </c>
      <c r="T111" s="6" t="s">
        <v>137</v>
      </c>
    </row>
    <row r="112" customFormat="false" ht="15" hidden="false" customHeight="true" outlineLevel="0" collapsed="false">
      <c r="A112" s="16" t="s">
        <v>36</v>
      </c>
      <c r="B112" s="16" t="s">
        <v>37</v>
      </c>
      <c r="C112" s="16" t="s">
        <v>129</v>
      </c>
      <c r="D112" s="16" t="s">
        <v>130</v>
      </c>
      <c r="E112" s="16" t="s">
        <v>131</v>
      </c>
      <c r="F112" s="16" t="s">
        <v>138</v>
      </c>
      <c r="G112" s="16" t="s">
        <v>133</v>
      </c>
      <c r="H112" s="16" t="s">
        <v>134</v>
      </c>
      <c r="I112" s="17" t="n">
        <v>15</v>
      </c>
      <c r="J112" s="17" t="n">
        <v>5.3</v>
      </c>
      <c r="K112" s="17" t="n">
        <v>5.3</v>
      </c>
      <c r="L112" s="17" t="n">
        <v>37</v>
      </c>
      <c r="M112" s="17" t="n">
        <v>10.3</v>
      </c>
      <c r="N112" s="17" t="n">
        <v>10.4</v>
      </c>
      <c r="O112" s="17" t="n">
        <v>0</v>
      </c>
      <c r="P112" s="17" t="n">
        <f aca="false">I112*(1+M112/100+N112/100+O112/100)+J112+L112/100*K112</f>
        <v>25.366</v>
      </c>
      <c r="Q112" s="17" t="n">
        <f aca="false">P112/(1+J112/100+L112/100*K112/100)</f>
        <v>23.6488565275356</v>
      </c>
      <c r="R112" s="16" t="n">
        <v>1</v>
      </c>
      <c r="S112" s="16" t="n">
        <v>1</v>
      </c>
      <c r="T112" s="6" t="s">
        <v>135</v>
      </c>
    </row>
    <row r="113" customFormat="false" ht="15" hidden="false" customHeight="true" outlineLevel="0" collapsed="false">
      <c r="A113" s="16" t="s">
        <v>36</v>
      </c>
      <c r="B113" s="16" t="s">
        <v>37</v>
      </c>
      <c r="C113" s="16" t="s">
        <v>129</v>
      </c>
      <c r="D113" s="16" t="s">
        <v>130</v>
      </c>
      <c r="E113" s="16" t="s">
        <v>131</v>
      </c>
      <c r="F113" s="16" t="s">
        <v>138</v>
      </c>
      <c r="G113" s="16" t="s">
        <v>136</v>
      </c>
      <c r="H113" s="16" t="s">
        <v>134</v>
      </c>
      <c r="I113" s="17" t="n">
        <v>15</v>
      </c>
      <c r="J113" s="17" t="n">
        <v>5.665</v>
      </c>
      <c r="K113" s="17" t="n">
        <v>5.3</v>
      </c>
      <c r="L113" s="17" t="n">
        <v>37</v>
      </c>
      <c r="M113" s="17" t="n">
        <v>10.3</v>
      </c>
      <c r="N113" s="17" t="n">
        <v>10.4</v>
      </c>
      <c r="O113" s="17" t="n">
        <v>0</v>
      </c>
      <c r="P113" s="17" t="n">
        <f aca="false">I113*(1+M113/100+N113/100+O113/100)+J113+L113/100*K113</f>
        <v>25.731</v>
      </c>
      <c r="Q113" s="17" t="n">
        <f aca="false">P113/(1+J113/100+L113/100*K113/100)</f>
        <v>23.907791797521</v>
      </c>
      <c r="R113" s="16" t="n">
        <v>1</v>
      </c>
      <c r="S113" s="16" t="n">
        <v>1</v>
      </c>
      <c r="T113" s="6" t="s">
        <v>137</v>
      </c>
    </row>
    <row r="114" customFormat="false" ht="15" hidden="false" customHeight="true" outlineLevel="0" collapsed="false">
      <c r="A114" s="16" t="s">
        <v>36</v>
      </c>
      <c r="B114" s="16" t="s">
        <v>37</v>
      </c>
      <c r="C114" s="16" t="s">
        <v>129</v>
      </c>
      <c r="D114" s="16" t="s">
        <v>130</v>
      </c>
      <c r="E114" s="16" t="s">
        <v>131</v>
      </c>
      <c r="F114" s="16" t="s">
        <v>139</v>
      </c>
      <c r="G114" s="16" t="s">
        <v>133</v>
      </c>
      <c r="H114" s="16" t="s">
        <v>140</v>
      </c>
      <c r="I114" s="17" t="n">
        <v>23.2</v>
      </c>
      <c r="J114" s="17" t="n">
        <v>7</v>
      </c>
      <c r="K114" s="17" t="n">
        <v>7</v>
      </c>
      <c r="L114" s="17" t="n">
        <v>37</v>
      </c>
      <c r="M114" s="17" t="n">
        <v>10.3</v>
      </c>
      <c r="N114" s="17" t="n">
        <v>10.4</v>
      </c>
      <c r="O114" s="17" t="n">
        <v>0</v>
      </c>
      <c r="P114" s="17" t="n">
        <f aca="false">I114*(1+M114/100+N114/100+O114/100)+J114+L114/100*K114</f>
        <v>37.5924</v>
      </c>
      <c r="Q114" s="17" t="n">
        <f aca="false">P114/(1+J114/100+L114/100*K114/100)</f>
        <v>34.3027648508076</v>
      </c>
      <c r="R114" s="16" t="n">
        <v>1</v>
      </c>
      <c r="S114" s="16" t="n">
        <v>1</v>
      </c>
      <c r="T114" s="6" t="s">
        <v>135</v>
      </c>
    </row>
    <row r="115" customFormat="false" ht="15" hidden="false" customHeight="true" outlineLevel="0" collapsed="false">
      <c r="A115" s="16" t="s">
        <v>36</v>
      </c>
      <c r="B115" s="16" t="s">
        <v>37</v>
      </c>
      <c r="C115" s="16" t="s">
        <v>129</v>
      </c>
      <c r="D115" s="16" t="s">
        <v>130</v>
      </c>
      <c r="E115" s="16" t="s">
        <v>131</v>
      </c>
      <c r="F115" s="16" t="s">
        <v>139</v>
      </c>
      <c r="G115" s="16" t="s">
        <v>136</v>
      </c>
      <c r="H115" s="16" t="s">
        <v>140</v>
      </c>
      <c r="I115" s="17" t="n">
        <v>23.2</v>
      </c>
      <c r="J115" s="17" t="n">
        <v>7.48</v>
      </c>
      <c r="K115" s="17" t="n">
        <v>7</v>
      </c>
      <c r="L115" s="17" t="n">
        <v>37</v>
      </c>
      <c r="M115" s="17" t="n">
        <v>10.3</v>
      </c>
      <c r="N115" s="17" t="n">
        <v>10.4</v>
      </c>
      <c r="O115" s="17" t="n">
        <v>0</v>
      </c>
      <c r="P115" s="17" t="n">
        <f aca="false">I115*(1+M115/100+N115/100+O115/100)+J115+L115/100*K115</f>
        <v>38.0724</v>
      </c>
      <c r="Q115" s="17" t="n">
        <f aca="false">P115/(1+J115/100+L115/100*K115/100)</f>
        <v>34.5892613791224</v>
      </c>
      <c r="R115" s="16" t="n">
        <v>1</v>
      </c>
      <c r="S115" s="16" t="n">
        <v>1</v>
      </c>
      <c r="T115" s="6" t="s">
        <v>137</v>
      </c>
    </row>
    <row r="116" customFormat="false" ht="15" hidden="false" customHeight="true" outlineLevel="0" collapsed="false">
      <c r="A116" s="16" t="s">
        <v>36</v>
      </c>
      <c r="B116" s="16" t="s">
        <v>37</v>
      </c>
      <c r="C116" s="16" t="s">
        <v>129</v>
      </c>
      <c r="D116" s="16" t="s">
        <v>130</v>
      </c>
      <c r="E116" s="16" t="s">
        <v>141</v>
      </c>
      <c r="F116" s="16" t="s">
        <v>132</v>
      </c>
      <c r="G116" s="16" t="s">
        <v>136</v>
      </c>
      <c r="H116" s="16" t="s">
        <v>140</v>
      </c>
      <c r="I116" s="17" t="n">
        <v>23.2</v>
      </c>
      <c r="J116" s="17" t="n">
        <v>0.495</v>
      </c>
      <c r="K116" s="17" t="n">
        <v>0.4</v>
      </c>
      <c r="L116" s="17" t="n">
        <v>260</v>
      </c>
      <c r="M116" s="17" t="n">
        <v>10.3</v>
      </c>
      <c r="N116" s="17" t="n">
        <v>10.4</v>
      </c>
      <c r="O116" s="17" t="n">
        <v>0</v>
      </c>
      <c r="P116" s="17" t="n">
        <f aca="false">I116*(1+M116/100+N116/100+O116/100)+J116+L116/100*K116</f>
        <v>29.5374</v>
      </c>
      <c r="Q116" s="17" t="n">
        <f aca="false">P116/(1+J116/100+L116/100*K116/100)</f>
        <v>29.0908553700694</v>
      </c>
      <c r="R116" s="16" t="n">
        <v>1</v>
      </c>
      <c r="S116" s="16" t="n">
        <v>1</v>
      </c>
      <c r="T116" s="6" t="s">
        <v>142</v>
      </c>
    </row>
    <row r="117" customFormat="false" ht="15" hidden="false" customHeight="true" outlineLevel="0" collapsed="false">
      <c r="A117" s="16" t="s">
        <v>36</v>
      </c>
      <c r="B117" s="16" t="s">
        <v>37</v>
      </c>
      <c r="C117" s="16" t="s">
        <v>129</v>
      </c>
      <c r="D117" s="16" t="s">
        <v>130</v>
      </c>
      <c r="E117" s="16" t="s">
        <v>141</v>
      </c>
      <c r="F117" s="16" t="s">
        <v>138</v>
      </c>
      <c r="G117" s="16" t="s">
        <v>136</v>
      </c>
      <c r="H117" s="16" t="s">
        <v>140</v>
      </c>
      <c r="I117" s="17" t="n">
        <v>23.2</v>
      </c>
      <c r="J117" s="17" t="n">
        <v>0.835</v>
      </c>
      <c r="K117" s="17" t="n">
        <v>0.7</v>
      </c>
      <c r="L117" s="17" t="n">
        <v>260</v>
      </c>
      <c r="M117" s="17" t="n">
        <v>10.3</v>
      </c>
      <c r="N117" s="17" t="n">
        <v>10.4</v>
      </c>
      <c r="O117" s="17" t="n">
        <v>0</v>
      </c>
      <c r="P117" s="17" t="n">
        <f aca="false">I117*(1+M117/100+N117/100+O117/100)+J117+L117/100*K117</f>
        <v>30.6574</v>
      </c>
      <c r="Q117" s="17" t="n">
        <f aca="false">P117/(1+J117/100+L117/100*K117/100)</f>
        <v>29.8644975890117</v>
      </c>
      <c r="R117" s="16" t="n">
        <v>1</v>
      </c>
      <c r="S117" s="16" t="n">
        <v>1</v>
      </c>
      <c r="T117" s="6" t="s">
        <v>142</v>
      </c>
    </row>
    <row r="118" customFormat="false" ht="15" hidden="false" customHeight="true" outlineLevel="0" collapsed="false">
      <c r="A118" s="16" t="s">
        <v>36</v>
      </c>
      <c r="B118" s="16" t="s">
        <v>37</v>
      </c>
      <c r="C118" s="16" t="s">
        <v>129</v>
      </c>
      <c r="D118" s="16" t="s">
        <v>130</v>
      </c>
      <c r="E118" s="16" t="s">
        <v>141</v>
      </c>
      <c r="F118" s="16" t="s">
        <v>139</v>
      </c>
      <c r="G118" s="16" t="s">
        <v>136</v>
      </c>
      <c r="H118" s="16" t="s">
        <v>140</v>
      </c>
      <c r="I118" s="17" t="n">
        <v>23.2</v>
      </c>
      <c r="J118" s="17" t="n">
        <v>1.18</v>
      </c>
      <c r="K118" s="17" t="n">
        <v>1</v>
      </c>
      <c r="L118" s="17" t="n">
        <v>260</v>
      </c>
      <c r="M118" s="17" t="n">
        <v>10.3</v>
      </c>
      <c r="N118" s="17" t="n">
        <v>10.4</v>
      </c>
      <c r="O118" s="17" t="n">
        <v>0</v>
      </c>
      <c r="P118" s="17" t="n">
        <f aca="false">I118*(1+M118/100+N118/100+O118/100)+J118+L118/100*K118</f>
        <v>31.7824</v>
      </c>
      <c r="Q118" s="17" t="n">
        <f aca="false">P118/(1+J118/100+L118/100*K118/100)</f>
        <v>30.6247831952207</v>
      </c>
      <c r="R118" s="16" t="n">
        <v>1</v>
      </c>
      <c r="S118" s="16" t="n">
        <v>1</v>
      </c>
      <c r="T118" s="6" t="s">
        <v>142</v>
      </c>
    </row>
    <row r="119" customFormat="false" ht="23.25" hidden="false" customHeight="true" outlineLevel="0" collapsed="false">
      <c r="A119" s="16" t="s">
        <v>36</v>
      </c>
      <c r="B119" s="16" t="s">
        <v>37</v>
      </c>
      <c r="C119" s="16" t="s">
        <v>143</v>
      </c>
      <c r="D119" s="16" t="s">
        <v>144</v>
      </c>
      <c r="E119" s="16" t="s">
        <v>131</v>
      </c>
      <c r="F119" s="16" t="s">
        <v>145</v>
      </c>
      <c r="G119" s="16" t="s">
        <v>133</v>
      </c>
      <c r="H119" s="16" t="s">
        <v>146</v>
      </c>
      <c r="I119" s="17" t="n">
        <v>15</v>
      </c>
      <c r="J119" s="17" t="n">
        <v>7</v>
      </c>
      <c r="K119" s="17" t="n">
        <v>7</v>
      </c>
      <c r="L119" s="17" t="n">
        <v>37</v>
      </c>
      <c r="M119" s="17" t="n">
        <v>10.3</v>
      </c>
      <c r="N119" s="17" t="n">
        <v>10.4</v>
      </c>
      <c r="O119" s="17" t="n">
        <v>0</v>
      </c>
      <c r="P119" s="17" t="n">
        <f aca="false">I119*(1+M119/100+N119/100+O119/100)+J119+L119/100*K119</f>
        <v>27.695</v>
      </c>
      <c r="Q119" s="17" t="n">
        <f aca="false">P119/(1+J119/100+L119/100*K119/100)</f>
        <v>25.2714663746692</v>
      </c>
      <c r="R119" s="16" t="n">
        <v>0</v>
      </c>
      <c r="S119" s="16" t="n">
        <v>1</v>
      </c>
      <c r="T119" s="6" t="s">
        <v>147</v>
      </c>
    </row>
    <row r="120" customFormat="false" ht="23.25" hidden="false" customHeight="true" outlineLevel="0" collapsed="false">
      <c r="A120" s="16" t="s">
        <v>36</v>
      </c>
      <c r="B120" s="16" t="s">
        <v>37</v>
      </c>
      <c r="C120" s="16" t="s">
        <v>143</v>
      </c>
      <c r="D120" s="16" t="s">
        <v>144</v>
      </c>
      <c r="E120" s="16" t="s">
        <v>131</v>
      </c>
      <c r="F120" s="16" t="s">
        <v>145</v>
      </c>
      <c r="G120" s="16" t="s">
        <v>136</v>
      </c>
      <c r="H120" s="16" t="s">
        <v>146</v>
      </c>
      <c r="I120" s="17" t="n">
        <v>15</v>
      </c>
      <c r="J120" s="17" t="n">
        <v>7.48</v>
      </c>
      <c r="K120" s="17" t="n">
        <v>7</v>
      </c>
      <c r="L120" s="17" t="n">
        <v>37</v>
      </c>
      <c r="M120" s="17" t="n">
        <v>10.3</v>
      </c>
      <c r="N120" s="17" t="n">
        <v>10.4</v>
      </c>
      <c r="O120" s="17" t="n">
        <v>0</v>
      </c>
      <c r="P120" s="17" t="n">
        <f aca="false">I120*(1+M120/100+N120/100+O120/100)+J120+L120/100*K120</f>
        <v>28.175</v>
      </c>
      <c r="Q120" s="17" t="n">
        <f aca="false">P120/(1+J120/100+L120/100*K120/100)</f>
        <v>25.5973471427274</v>
      </c>
      <c r="R120" s="16" t="n">
        <v>0</v>
      </c>
      <c r="S120" s="16" t="n">
        <v>1</v>
      </c>
      <c r="T120" s="6" t="s">
        <v>147</v>
      </c>
    </row>
    <row r="121" customFormat="false" ht="34.5" hidden="false" customHeight="true" outlineLevel="0" collapsed="false">
      <c r="A121" s="16" t="s">
        <v>36</v>
      </c>
      <c r="B121" s="16" t="s">
        <v>37</v>
      </c>
      <c r="C121" s="16" t="s">
        <v>143</v>
      </c>
      <c r="D121" s="16" t="s">
        <v>148</v>
      </c>
      <c r="E121" s="16" t="s">
        <v>131</v>
      </c>
      <c r="F121" s="16" t="s">
        <v>145</v>
      </c>
      <c r="G121" s="16" t="s">
        <v>136</v>
      </c>
      <c r="H121" s="16" t="s">
        <v>149</v>
      </c>
      <c r="I121" s="17" t="n">
        <v>19</v>
      </c>
      <c r="J121" s="17" t="n">
        <v>7.48</v>
      </c>
      <c r="K121" s="17" t="n">
        <v>7</v>
      </c>
      <c r="L121" s="17" t="n">
        <v>37</v>
      </c>
      <c r="M121" s="17" t="n">
        <v>10.3</v>
      </c>
      <c r="N121" s="17" t="n">
        <v>10.4</v>
      </c>
      <c r="O121" s="17" t="n">
        <v>0</v>
      </c>
      <c r="P121" s="17" t="n">
        <f aca="false">I121*(1+M121/100+N121/100+O121/100)+J121+L121/100*K121</f>
        <v>33.003</v>
      </c>
      <c r="Q121" s="17" t="n">
        <f aca="false">P121/(1+J121/100+L121/100*K121/100)</f>
        <v>29.9836467702371</v>
      </c>
      <c r="R121" s="16" t="n">
        <v>0</v>
      </c>
      <c r="S121" s="16" t="n">
        <v>1</v>
      </c>
      <c r="T121" s="6" t="s">
        <v>150</v>
      </c>
    </row>
    <row r="122" customFormat="false" ht="23.25" hidden="false" customHeight="true" outlineLevel="0" collapsed="false">
      <c r="A122" s="16" t="s">
        <v>36</v>
      </c>
      <c r="B122" s="16" t="s">
        <v>37</v>
      </c>
      <c r="C122" s="16" t="s">
        <v>143</v>
      </c>
      <c r="D122" s="16" t="s">
        <v>148</v>
      </c>
      <c r="E122" s="16" t="s">
        <v>131</v>
      </c>
      <c r="F122" s="16" t="s">
        <v>132</v>
      </c>
      <c r="G122" s="16" t="s">
        <v>136</v>
      </c>
      <c r="H122" s="16" t="s">
        <v>149</v>
      </c>
      <c r="I122" s="17" t="n">
        <v>19</v>
      </c>
      <c r="J122" s="17" t="n">
        <v>3.75</v>
      </c>
      <c r="K122" s="17" t="n">
        <v>3.5</v>
      </c>
      <c r="L122" s="17" t="n">
        <v>37</v>
      </c>
      <c r="M122" s="17" t="n">
        <v>10.3</v>
      </c>
      <c r="N122" s="17" t="n">
        <v>10.4</v>
      </c>
      <c r="O122" s="17" t="n">
        <v>0</v>
      </c>
      <c r="P122" s="17" t="n">
        <f aca="false">I122*(1+M122/100+N122/100+O122/100)+J122+L122/100*K122</f>
        <v>27.978</v>
      </c>
      <c r="Q122" s="17" t="n">
        <f aca="false">P122/(1+J122/100+L122/100*K122/100)</f>
        <v>26.6342995858918</v>
      </c>
      <c r="R122" s="16" t="n">
        <v>0</v>
      </c>
      <c r="S122" s="16" t="n">
        <v>1</v>
      </c>
      <c r="T122" s="6" t="s">
        <v>151</v>
      </c>
    </row>
    <row r="123" customFormat="false" ht="23.25" hidden="false" customHeight="true" outlineLevel="0" collapsed="false">
      <c r="A123" s="16" t="s">
        <v>36</v>
      </c>
      <c r="B123" s="16" t="s">
        <v>37</v>
      </c>
      <c r="C123" s="16" t="s">
        <v>143</v>
      </c>
      <c r="D123" s="16" t="s">
        <v>148</v>
      </c>
      <c r="E123" s="16" t="s">
        <v>131</v>
      </c>
      <c r="F123" s="16" t="s">
        <v>138</v>
      </c>
      <c r="G123" s="16" t="s">
        <v>136</v>
      </c>
      <c r="H123" s="16" t="s">
        <v>149</v>
      </c>
      <c r="I123" s="17" t="n">
        <v>19</v>
      </c>
      <c r="J123" s="17" t="n">
        <v>5.665</v>
      </c>
      <c r="K123" s="17" t="n">
        <v>5.3</v>
      </c>
      <c r="L123" s="17" t="n">
        <v>37</v>
      </c>
      <c r="M123" s="17" t="n">
        <v>10.3</v>
      </c>
      <c r="N123" s="17" t="n">
        <v>10.4</v>
      </c>
      <c r="O123" s="17" t="n">
        <v>0</v>
      </c>
      <c r="P123" s="17" t="n">
        <f aca="false">I123*(1+M123/100+N123/100+O123/100)+J123+L123/100*K123</f>
        <v>30.559</v>
      </c>
      <c r="Q123" s="17" t="n">
        <f aca="false">P123/(1+J123/100+L123/100*K123/100)</f>
        <v>28.3936966903908</v>
      </c>
      <c r="R123" s="16" t="n">
        <v>0</v>
      </c>
      <c r="S123" s="16" t="n">
        <v>1</v>
      </c>
      <c r="T123" s="6" t="s">
        <v>151</v>
      </c>
    </row>
    <row r="124" customFormat="false" ht="15" hidden="false" customHeight="true" outlineLevel="0" collapsed="false">
      <c r="A124" s="16" t="s">
        <v>38</v>
      </c>
      <c r="B124" s="16" t="s">
        <v>39</v>
      </c>
      <c r="C124" s="16" t="s">
        <v>129</v>
      </c>
      <c r="D124" s="16" t="s">
        <v>130</v>
      </c>
      <c r="E124" s="16" t="s">
        <v>131</v>
      </c>
      <c r="F124" s="16" t="s">
        <v>132</v>
      </c>
      <c r="G124" s="16" t="s">
        <v>133</v>
      </c>
      <c r="H124" s="16" t="s">
        <v>134</v>
      </c>
      <c r="I124" s="17" t="n">
        <v>15</v>
      </c>
      <c r="J124" s="17" t="n">
        <v>3.5</v>
      </c>
      <c r="K124" s="17" t="n">
        <v>3.5</v>
      </c>
      <c r="L124" s="17" t="n">
        <v>37</v>
      </c>
      <c r="M124" s="17" t="n">
        <v>10.3</v>
      </c>
      <c r="N124" s="17" t="n">
        <v>10.4</v>
      </c>
      <c r="O124" s="17" t="n">
        <v>0</v>
      </c>
      <c r="P124" s="17" t="n">
        <f aca="false">I124*(1+M124/100+N124/100+O124/100)+J124+L124/100*K124</f>
        <v>22.9</v>
      </c>
      <c r="Q124" s="17" t="n">
        <f aca="false">P124/(1+J124/100+L124/100*K124/100)</f>
        <v>21.8521876043704</v>
      </c>
      <c r="R124" s="16" t="n">
        <v>1</v>
      </c>
      <c r="S124" s="16" t="n">
        <v>1</v>
      </c>
      <c r="T124" s="6" t="s">
        <v>135</v>
      </c>
    </row>
    <row r="125" customFormat="false" ht="15" hidden="false" customHeight="true" outlineLevel="0" collapsed="false">
      <c r="A125" s="16" t="s">
        <v>38</v>
      </c>
      <c r="B125" s="16" t="s">
        <v>39</v>
      </c>
      <c r="C125" s="16" t="s">
        <v>129</v>
      </c>
      <c r="D125" s="16" t="s">
        <v>130</v>
      </c>
      <c r="E125" s="16" t="s">
        <v>131</v>
      </c>
      <c r="F125" s="16" t="s">
        <v>132</v>
      </c>
      <c r="G125" s="16" t="s">
        <v>136</v>
      </c>
      <c r="H125" s="16" t="s">
        <v>134</v>
      </c>
      <c r="I125" s="17" t="n">
        <v>15</v>
      </c>
      <c r="J125" s="17" t="n">
        <v>3.75</v>
      </c>
      <c r="K125" s="17" t="n">
        <v>3.5</v>
      </c>
      <c r="L125" s="17" t="n">
        <v>37</v>
      </c>
      <c r="M125" s="17" t="n">
        <v>10.3</v>
      </c>
      <c r="N125" s="17" t="n">
        <v>10.4</v>
      </c>
      <c r="O125" s="17" t="n">
        <v>0</v>
      </c>
      <c r="P125" s="17" t="n">
        <f aca="false">I125*(1+M125/100+N125/100+O125/100)+J125+L125/100*K125</f>
        <v>23.15</v>
      </c>
      <c r="Q125" s="17" t="n">
        <f aca="false">P125/(1+J125/100+L125/100*K125/100)</f>
        <v>22.0381741158551</v>
      </c>
      <c r="R125" s="16" t="n">
        <v>1</v>
      </c>
      <c r="S125" s="16" t="n">
        <v>1</v>
      </c>
      <c r="T125" s="6" t="s">
        <v>137</v>
      </c>
    </row>
    <row r="126" customFormat="false" ht="15" hidden="false" customHeight="true" outlineLevel="0" collapsed="false">
      <c r="A126" s="16" t="s">
        <v>38</v>
      </c>
      <c r="B126" s="16" t="s">
        <v>39</v>
      </c>
      <c r="C126" s="16" t="s">
        <v>129</v>
      </c>
      <c r="D126" s="16" t="s">
        <v>130</v>
      </c>
      <c r="E126" s="16" t="s">
        <v>131</v>
      </c>
      <c r="F126" s="16" t="s">
        <v>138</v>
      </c>
      <c r="G126" s="16" t="s">
        <v>133</v>
      </c>
      <c r="H126" s="16" t="s">
        <v>134</v>
      </c>
      <c r="I126" s="17" t="n">
        <v>15</v>
      </c>
      <c r="J126" s="17" t="n">
        <v>5.3</v>
      </c>
      <c r="K126" s="17" t="n">
        <v>5.3</v>
      </c>
      <c r="L126" s="17" t="n">
        <v>37</v>
      </c>
      <c r="M126" s="17" t="n">
        <v>10.3</v>
      </c>
      <c r="N126" s="17" t="n">
        <v>10.4</v>
      </c>
      <c r="O126" s="17" t="n">
        <v>0</v>
      </c>
      <c r="P126" s="17" t="n">
        <f aca="false">I126*(1+M126/100+N126/100+O126/100)+J126+L126/100*K126</f>
        <v>25.366</v>
      </c>
      <c r="Q126" s="17" t="n">
        <f aca="false">P126/(1+J126/100+L126/100*K126/100)</f>
        <v>23.6488565275356</v>
      </c>
      <c r="R126" s="16" t="n">
        <v>1</v>
      </c>
      <c r="S126" s="16" t="n">
        <v>1</v>
      </c>
      <c r="T126" s="6" t="s">
        <v>135</v>
      </c>
    </row>
    <row r="127" customFormat="false" ht="15" hidden="false" customHeight="true" outlineLevel="0" collapsed="false">
      <c r="A127" s="16" t="s">
        <v>38</v>
      </c>
      <c r="B127" s="16" t="s">
        <v>39</v>
      </c>
      <c r="C127" s="16" t="s">
        <v>129</v>
      </c>
      <c r="D127" s="16" t="s">
        <v>130</v>
      </c>
      <c r="E127" s="16" t="s">
        <v>131</v>
      </c>
      <c r="F127" s="16" t="s">
        <v>138</v>
      </c>
      <c r="G127" s="16" t="s">
        <v>136</v>
      </c>
      <c r="H127" s="16" t="s">
        <v>134</v>
      </c>
      <c r="I127" s="17" t="n">
        <v>15</v>
      </c>
      <c r="J127" s="17" t="n">
        <v>5.665</v>
      </c>
      <c r="K127" s="17" t="n">
        <v>5.3</v>
      </c>
      <c r="L127" s="17" t="n">
        <v>37</v>
      </c>
      <c r="M127" s="17" t="n">
        <v>10.3</v>
      </c>
      <c r="N127" s="17" t="n">
        <v>10.4</v>
      </c>
      <c r="O127" s="17" t="n">
        <v>0</v>
      </c>
      <c r="P127" s="17" t="n">
        <f aca="false">I127*(1+M127/100+N127/100+O127/100)+J127+L127/100*K127</f>
        <v>25.731</v>
      </c>
      <c r="Q127" s="17" t="n">
        <f aca="false">P127/(1+J127/100+L127/100*K127/100)</f>
        <v>23.907791797521</v>
      </c>
      <c r="R127" s="16" t="n">
        <v>1</v>
      </c>
      <c r="S127" s="16" t="n">
        <v>1</v>
      </c>
      <c r="T127" s="6" t="s">
        <v>137</v>
      </c>
    </row>
    <row r="128" customFormat="false" ht="15" hidden="false" customHeight="true" outlineLevel="0" collapsed="false">
      <c r="A128" s="16" t="s">
        <v>38</v>
      </c>
      <c r="B128" s="16" t="s">
        <v>39</v>
      </c>
      <c r="C128" s="16" t="s">
        <v>129</v>
      </c>
      <c r="D128" s="16" t="s">
        <v>130</v>
      </c>
      <c r="E128" s="16" t="s">
        <v>131</v>
      </c>
      <c r="F128" s="16" t="s">
        <v>139</v>
      </c>
      <c r="G128" s="16" t="s">
        <v>133</v>
      </c>
      <c r="H128" s="16" t="s">
        <v>140</v>
      </c>
      <c r="I128" s="17" t="n">
        <v>23.2</v>
      </c>
      <c r="J128" s="17" t="n">
        <v>7</v>
      </c>
      <c r="K128" s="17" t="n">
        <v>7</v>
      </c>
      <c r="L128" s="17" t="n">
        <v>37</v>
      </c>
      <c r="M128" s="17" t="n">
        <v>10.3</v>
      </c>
      <c r="N128" s="17" t="n">
        <v>10.4</v>
      </c>
      <c r="O128" s="17" t="n">
        <v>0</v>
      </c>
      <c r="P128" s="17" t="n">
        <f aca="false">I128*(1+M128/100+N128/100+O128/100)+J128+L128/100*K128</f>
        <v>37.5924</v>
      </c>
      <c r="Q128" s="17" t="n">
        <f aca="false">P128/(1+J128/100+L128/100*K128/100)</f>
        <v>34.3027648508076</v>
      </c>
      <c r="R128" s="16" t="n">
        <v>1</v>
      </c>
      <c r="S128" s="16" t="n">
        <v>1</v>
      </c>
      <c r="T128" s="6" t="s">
        <v>135</v>
      </c>
    </row>
    <row r="129" customFormat="false" ht="15" hidden="false" customHeight="true" outlineLevel="0" collapsed="false">
      <c r="A129" s="16" t="s">
        <v>38</v>
      </c>
      <c r="B129" s="16" t="s">
        <v>39</v>
      </c>
      <c r="C129" s="16" t="s">
        <v>129</v>
      </c>
      <c r="D129" s="16" t="s">
        <v>130</v>
      </c>
      <c r="E129" s="16" t="s">
        <v>131</v>
      </c>
      <c r="F129" s="16" t="s">
        <v>139</v>
      </c>
      <c r="G129" s="16" t="s">
        <v>136</v>
      </c>
      <c r="H129" s="16" t="s">
        <v>140</v>
      </c>
      <c r="I129" s="17" t="n">
        <v>23.2</v>
      </c>
      <c r="J129" s="17" t="n">
        <v>7.48</v>
      </c>
      <c r="K129" s="17" t="n">
        <v>7</v>
      </c>
      <c r="L129" s="17" t="n">
        <v>37</v>
      </c>
      <c r="M129" s="17" t="n">
        <v>10.3</v>
      </c>
      <c r="N129" s="17" t="n">
        <v>10.4</v>
      </c>
      <c r="O129" s="17" t="n">
        <v>0</v>
      </c>
      <c r="P129" s="17" t="n">
        <f aca="false">I129*(1+M129/100+N129/100+O129/100)+J129+L129/100*K129</f>
        <v>38.0724</v>
      </c>
      <c r="Q129" s="17" t="n">
        <f aca="false">P129/(1+J129/100+L129/100*K129/100)</f>
        <v>34.5892613791224</v>
      </c>
      <c r="R129" s="16" t="n">
        <v>1</v>
      </c>
      <c r="S129" s="16" t="n">
        <v>1</v>
      </c>
      <c r="T129" s="6" t="s">
        <v>137</v>
      </c>
    </row>
    <row r="130" customFormat="false" ht="23.25" hidden="false" customHeight="true" outlineLevel="0" collapsed="false">
      <c r="A130" s="16" t="s">
        <v>38</v>
      </c>
      <c r="B130" s="16" t="s">
        <v>39</v>
      </c>
      <c r="C130" s="16" t="s">
        <v>129</v>
      </c>
      <c r="D130" s="16" t="s">
        <v>130</v>
      </c>
      <c r="E130" s="16" t="s">
        <v>141</v>
      </c>
      <c r="F130" s="16" t="s">
        <v>152</v>
      </c>
      <c r="G130" s="16" t="s">
        <v>136</v>
      </c>
      <c r="H130" s="16" t="s">
        <v>140</v>
      </c>
      <c r="I130" s="17" t="n">
        <v>23.2</v>
      </c>
      <c r="J130" s="17" t="n">
        <v>1.18</v>
      </c>
      <c r="K130" s="17" t="n">
        <v>1</v>
      </c>
      <c r="L130" s="17" t="n">
        <v>260</v>
      </c>
      <c r="M130" s="17" t="n">
        <v>10.3</v>
      </c>
      <c r="N130" s="17" t="n">
        <v>10.4</v>
      </c>
      <c r="O130" s="17" t="n">
        <v>0</v>
      </c>
      <c r="P130" s="17" t="n">
        <f aca="false">I130*(1+M130/100+N130/100+O130/100)+J130+L130/100*K130</f>
        <v>31.7824</v>
      </c>
      <c r="Q130" s="17" t="n">
        <f aca="false">P130/(1+J130/100+L130/100*K130/100)</f>
        <v>30.6247831952207</v>
      </c>
      <c r="R130" s="16" t="n">
        <v>1</v>
      </c>
      <c r="S130" s="16" t="n">
        <v>1</v>
      </c>
      <c r="T130" s="6" t="s">
        <v>153</v>
      </c>
    </row>
    <row r="131" customFormat="false" ht="23.25" hidden="false" customHeight="true" outlineLevel="0" collapsed="false">
      <c r="A131" s="16" t="s">
        <v>38</v>
      </c>
      <c r="B131" s="16" t="s">
        <v>39</v>
      </c>
      <c r="C131" s="16" t="s">
        <v>143</v>
      </c>
      <c r="D131" s="16" t="s">
        <v>144</v>
      </c>
      <c r="E131" s="16" t="s">
        <v>131</v>
      </c>
      <c r="F131" s="16" t="s">
        <v>145</v>
      </c>
      <c r="G131" s="16" t="s">
        <v>133</v>
      </c>
      <c r="H131" s="16" t="s">
        <v>146</v>
      </c>
      <c r="I131" s="17" t="n">
        <v>15</v>
      </c>
      <c r="J131" s="17" t="n">
        <v>7</v>
      </c>
      <c r="K131" s="17" t="n">
        <v>7</v>
      </c>
      <c r="L131" s="17" t="n">
        <v>37</v>
      </c>
      <c r="M131" s="17" t="n">
        <v>10.3</v>
      </c>
      <c r="N131" s="17" t="n">
        <v>10.4</v>
      </c>
      <c r="O131" s="17" t="n">
        <v>0</v>
      </c>
      <c r="P131" s="17" t="n">
        <f aca="false">I131*(1+M131/100+N131/100+O131/100)+J131+L131/100*K131</f>
        <v>27.695</v>
      </c>
      <c r="Q131" s="17" t="n">
        <f aca="false">P131/(1+J131/100+L131/100*K131/100)</f>
        <v>25.2714663746692</v>
      </c>
      <c r="R131" s="16" t="n">
        <v>0</v>
      </c>
      <c r="S131" s="16" t="n">
        <v>1</v>
      </c>
      <c r="T131" s="6" t="s">
        <v>147</v>
      </c>
    </row>
    <row r="132" customFormat="false" ht="23.25" hidden="false" customHeight="true" outlineLevel="0" collapsed="false">
      <c r="A132" s="16" t="s">
        <v>38</v>
      </c>
      <c r="B132" s="16" t="s">
        <v>39</v>
      </c>
      <c r="C132" s="16" t="s">
        <v>143</v>
      </c>
      <c r="D132" s="16" t="s">
        <v>144</v>
      </c>
      <c r="E132" s="16" t="s">
        <v>131</v>
      </c>
      <c r="F132" s="16" t="s">
        <v>145</v>
      </c>
      <c r="G132" s="16" t="s">
        <v>136</v>
      </c>
      <c r="H132" s="16" t="s">
        <v>146</v>
      </c>
      <c r="I132" s="17" t="n">
        <v>15</v>
      </c>
      <c r="J132" s="17" t="n">
        <v>7.48</v>
      </c>
      <c r="K132" s="17" t="n">
        <v>7</v>
      </c>
      <c r="L132" s="17" t="n">
        <v>37</v>
      </c>
      <c r="M132" s="17" t="n">
        <v>10.3</v>
      </c>
      <c r="N132" s="17" t="n">
        <v>10.4</v>
      </c>
      <c r="O132" s="17" t="n">
        <v>0</v>
      </c>
      <c r="P132" s="17" t="n">
        <f aca="false">I132*(1+M132/100+N132/100+O132/100)+J132+L132/100*K132</f>
        <v>28.175</v>
      </c>
      <c r="Q132" s="17" t="n">
        <f aca="false">P132/(1+J132/100+L132/100*K132/100)</f>
        <v>25.5973471427274</v>
      </c>
      <c r="R132" s="16" t="n">
        <v>0</v>
      </c>
      <c r="S132" s="16" t="n">
        <v>1</v>
      </c>
      <c r="T132" s="6" t="s">
        <v>147</v>
      </c>
    </row>
    <row r="133" customFormat="false" ht="34.5" hidden="false" customHeight="true" outlineLevel="0" collapsed="false">
      <c r="A133" s="16" t="s">
        <v>38</v>
      </c>
      <c r="B133" s="16" t="s">
        <v>39</v>
      </c>
      <c r="C133" s="16" t="s">
        <v>143</v>
      </c>
      <c r="D133" s="16" t="s">
        <v>148</v>
      </c>
      <c r="E133" s="16" t="s">
        <v>131</v>
      </c>
      <c r="F133" s="16" t="s">
        <v>145</v>
      </c>
      <c r="G133" s="16" t="s">
        <v>136</v>
      </c>
      <c r="H133" s="16" t="s">
        <v>149</v>
      </c>
      <c r="I133" s="17" t="n">
        <v>19</v>
      </c>
      <c r="J133" s="17" t="n">
        <v>7.48</v>
      </c>
      <c r="K133" s="17" t="n">
        <v>7</v>
      </c>
      <c r="L133" s="17" t="n">
        <v>37</v>
      </c>
      <c r="M133" s="17" t="n">
        <v>10.3</v>
      </c>
      <c r="N133" s="17" t="n">
        <v>10.4</v>
      </c>
      <c r="O133" s="17" t="n">
        <v>0</v>
      </c>
      <c r="P133" s="17" t="n">
        <f aca="false">I133*(1+M133/100+N133/100+O133/100)+J133+L133/100*K133</f>
        <v>33.003</v>
      </c>
      <c r="Q133" s="17" t="n">
        <f aca="false">P133/(1+J133/100+L133/100*K133/100)</f>
        <v>29.9836467702371</v>
      </c>
      <c r="R133" s="16" t="n">
        <v>0</v>
      </c>
      <c r="S133" s="16" t="n">
        <v>1</v>
      </c>
      <c r="T133" s="6" t="s">
        <v>150</v>
      </c>
    </row>
    <row r="134" customFormat="false" ht="23.25" hidden="false" customHeight="true" outlineLevel="0" collapsed="false">
      <c r="A134" s="16" t="s">
        <v>38</v>
      </c>
      <c r="B134" s="16" t="s">
        <v>39</v>
      </c>
      <c r="C134" s="16" t="s">
        <v>143</v>
      </c>
      <c r="D134" s="16" t="s">
        <v>148</v>
      </c>
      <c r="E134" s="16" t="s">
        <v>131</v>
      </c>
      <c r="F134" s="16" t="s">
        <v>132</v>
      </c>
      <c r="G134" s="16" t="s">
        <v>136</v>
      </c>
      <c r="H134" s="16" t="s">
        <v>149</v>
      </c>
      <c r="I134" s="17" t="n">
        <v>19</v>
      </c>
      <c r="J134" s="17" t="n">
        <v>3.75</v>
      </c>
      <c r="K134" s="17" t="n">
        <v>3.5</v>
      </c>
      <c r="L134" s="17" t="n">
        <v>37</v>
      </c>
      <c r="M134" s="17" t="n">
        <v>10.3</v>
      </c>
      <c r="N134" s="17" t="n">
        <v>10.4</v>
      </c>
      <c r="O134" s="17" t="n">
        <v>0</v>
      </c>
      <c r="P134" s="17" t="n">
        <f aca="false">I134*(1+M134/100+N134/100+O134/100)+J134+L134/100*K134</f>
        <v>27.978</v>
      </c>
      <c r="Q134" s="17" t="n">
        <f aca="false">P134/(1+J134/100+L134/100*K134/100)</f>
        <v>26.6342995858918</v>
      </c>
      <c r="R134" s="16" t="n">
        <v>0</v>
      </c>
      <c r="S134" s="16" t="n">
        <v>1</v>
      </c>
      <c r="T134" s="6" t="s">
        <v>151</v>
      </c>
    </row>
    <row r="135" customFormat="false" ht="23.25" hidden="false" customHeight="true" outlineLevel="0" collapsed="false">
      <c r="A135" s="16" t="s">
        <v>38</v>
      </c>
      <c r="B135" s="16" t="s">
        <v>39</v>
      </c>
      <c r="C135" s="16" t="s">
        <v>143</v>
      </c>
      <c r="D135" s="16" t="s">
        <v>148</v>
      </c>
      <c r="E135" s="16" t="s">
        <v>131</v>
      </c>
      <c r="F135" s="16" t="s">
        <v>138</v>
      </c>
      <c r="G135" s="16" t="s">
        <v>136</v>
      </c>
      <c r="H135" s="16" t="s">
        <v>149</v>
      </c>
      <c r="I135" s="17" t="n">
        <v>19</v>
      </c>
      <c r="J135" s="17" t="n">
        <v>5.665</v>
      </c>
      <c r="K135" s="17" t="n">
        <v>5.3</v>
      </c>
      <c r="L135" s="17" t="n">
        <v>37</v>
      </c>
      <c r="M135" s="17" t="n">
        <v>10.3</v>
      </c>
      <c r="N135" s="17" t="n">
        <v>10.4</v>
      </c>
      <c r="O135" s="17" t="n">
        <v>0</v>
      </c>
      <c r="P135" s="17" t="n">
        <f aca="false">I135*(1+M135/100+N135/100+O135/100)+J135+L135/100*K135</f>
        <v>30.559</v>
      </c>
      <c r="Q135" s="17" t="n">
        <f aca="false">P135/(1+J135/100+L135/100*K135/100)</f>
        <v>28.3936966903908</v>
      </c>
      <c r="R135" s="16" t="n">
        <v>0</v>
      </c>
      <c r="S135" s="16" t="n">
        <v>1</v>
      </c>
      <c r="T135" s="6" t="s">
        <v>151</v>
      </c>
    </row>
    <row r="136" customFormat="false" ht="15" hidden="false" customHeight="true" outlineLevel="0" collapsed="false">
      <c r="A136" s="16" t="s">
        <v>41</v>
      </c>
      <c r="B136" s="16" t="s">
        <v>42</v>
      </c>
      <c r="C136" s="16" t="s">
        <v>129</v>
      </c>
      <c r="D136" s="16" t="s">
        <v>130</v>
      </c>
      <c r="E136" s="16" t="s">
        <v>131</v>
      </c>
      <c r="F136" s="16" t="s">
        <v>132</v>
      </c>
      <c r="G136" s="16" t="s">
        <v>133</v>
      </c>
      <c r="H136" s="16" t="s">
        <v>134</v>
      </c>
      <c r="I136" s="17" t="n">
        <v>15</v>
      </c>
      <c r="J136" s="17" t="n">
        <v>3.5</v>
      </c>
      <c r="K136" s="17" t="n">
        <v>3.5</v>
      </c>
      <c r="L136" s="17" t="n">
        <v>37</v>
      </c>
      <c r="M136" s="17" t="n">
        <v>10.3</v>
      </c>
      <c r="N136" s="17" t="n">
        <v>10.4</v>
      </c>
      <c r="O136" s="17" t="n">
        <v>0</v>
      </c>
      <c r="P136" s="17" t="n">
        <f aca="false">I136*(1+M136/100+N136/100+O136/100)+J136+L136/100*K136</f>
        <v>22.9</v>
      </c>
      <c r="Q136" s="17" t="n">
        <f aca="false">P136/(1+J136/100+L136/100*K136/100)</f>
        <v>21.8521876043704</v>
      </c>
      <c r="R136" s="16" t="n">
        <v>1</v>
      </c>
      <c r="S136" s="16" t="n">
        <v>1</v>
      </c>
      <c r="T136" s="6" t="s">
        <v>135</v>
      </c>
    </row>
    <row r="137" customFormat="false" ht="15" hidden="false" customHeight="true" outlineLevel="0" collapsed="false">
      <c r="A137" s="16" t="s">
        <v>41</v>
      </c>
      <c r="B137" s="16" t="s">
        <v>42</v>
      </c>
      <c r="C137" s="16" t="s">
        <v>129</v>
      </c>
      <c r="D137" s="16" t="s">
        <v>130</v>
      </c>
      <c r="E137" s="16" t="s">
        <v>131</v>
      </c>
      <c r="F137" s="16" t="s">
        <v>132</v>
      </c>
      <c r="G137" s="16" t="s">
        <v>136</v>
      </c>
      <c r="H137" s="16" t="s">
        <v>134</v>
      </c>
      <c r="I137" s="17" t="n">
        <v>15</v>
      </c>
      <c r="J137" s="17" t="n">
        <v>3.75</v>
      </c>
      <c r="K137" s="17" t="n">
        <v>3.5</v>
      </c>
      <c r="L137" s="17" t="n">
        <v>37</v>
      </c>
      <c r="M137" s="17" t="n">
        <v>10.3</v>
      </c>
      <c r="N137" s="17" t="n">
        <v>10.4</v>
      </c>
      <c r="O137" s="17" t="n">
        <v>0</v>
      </c>
      <c r="P137" s="17" t="n">
        <f aca="false">I137*(1+M137/100+N137/100+O137/100)+J137+L137/100*K137</f>
        <v>23.15</v>
      </c>
      <c r="Q137" s="17" t="n">
        <f aca="false">P137/(1+J137/100+L137/100*K137/100)</f>
        <v>22.0381741158551</v>
      </c>
      <c r="R137" s="16" t="n">
        <v>1</v>
      </c>
      <c r="S137" s="16" t="n">
        <v>1</v>
      </c>
      <c r="T137" s="6" t="s">
        <v>137</v>
      </c>
    </row>
    <row r="138" customFormat="false" ht="15" hidden="false" customHeight="true" outlineLevel="0" collapsed="false">
      <c r="A138" s="16" t="s">
        <v>41</v>
      </c>
      <c r="B138" s="16" t="s">
        <v>42</v>
      </c>
      <c r="C138" s="16" t="s">
        <v>129</v>
      </c>
      <c r="D138" s="16" t="s">
        <v>130</v>
      </c>
      <c r="E138" s="16" t="s">
        <v>131</v>
      </c>
      <c r="F138" s="16" t="s">
        <v>138</v>
      </c>
      <c r="G138" s="16" t="s">
        <v>133</v>
      </c>
      <c r="H138" s="16" t="s">
        <v>134</v>
      </c>
      <c r="I138" s="17" t="n">
        <v>15</v>
      </c>
      <c r="J138" s="17" t="n">
        <v>5.3</v>
      </c>
      <c r="K138" s="17" t="n">
        <v>5.3</v>
      </c>
      <c r="L138" s="17" t="n">
        <v>37</v>
      </c>
      <c r="M138" s="17" t="n">
        <v>10.3</v>
      </c>
      <c r="N138" s="17" t="n">
        <v>10.4</v>
      </c>
      <c r="O138" s="17" t="n">
        <v>0</v>
      </c>
      <c r="P138" s="17" t="n">
        <f aca="false">I138*(1+M138/100+N138/100+O138/100)+J138+L138/100*K138</f>
        <v>25.366</v>
      </c>
      <c r="Q138" s="17" t="n">
        <f aca="false">P138/(1+J138/100+L138/100*K138/100)</f>
        <v>23.6488565275356</v>
      </c>
      <c r="R138" s="16" t="n">
        <v>1</v>
      </c>
      <c r="S138" s="16" t="n">
        <v>1</v>
      </c>
      <c r="T138" s="6" t="s">
        <v>135</v>
      </c>
    </row>
    <row r="139" customFormat="false" ht="15" hidden="false" customHeight="true" outlineLevel="0" collapsed="false">
      <c r="A139" s="16" t="s">
        <v>41</v>
      </c>
      <c r="B139" s="16" t="s">
        <v>42</v>
      </c>
      <c r="C139" s="16" t="s">
        <v>129</v>
      </c>
      <c r="D139" s="16" t="s">
        <v>130</v>
      </c>
      <c r="E139" s="16" t="s">
        <v>131</v>
      </c>
      <c r="F139" s="16" t="s">
        <v>138</v>
      </c>
      <c r="G139" s="16" t="s">
        <v>136</v>
      </c>
      <c r="H139" s="16" t="s">
        <v>134</v>
      </c>
      <c r="I139" s="17" t="n">
        <v>15</v>
      </c>
      <c r="J139" s="17" t="n">
        <v>5.665</v>
      </c>
      <c r="K139" s="17" t="n">
        <v>5.3</v>
      </c>
      <c r="L139" s="17" t="n">
        <v>37</v>
      </c>
      <c r="M139" s="17" t="n">
        <v>10.3</v>
      </c>
      <c r="N139" s="17" t="n">
        <v>10.4</v>
      </c>
      <c r="O139" s="17" t="n">
        <v>0</v>
      </c>
      <c r="P139" s="17" t="n">
        <f aca="false">I139*(1+M139/100+N139/100+O139/100)+J139+L139/100*K139</f>
        <v>25.731</v>
      </c>
      <c r="Q139" s="17" t="n">
        <f aca="false">P139/(1+J139/100+L139/100*K139/100)</f>
        <v>23.907791797521</v>
      </c>
      <c r="R139" s="16" t="n">
        <v>1</v>
      </c>
      <c r="S139" s="16" t="n">
        <v>1</v>
      </c>
      <c r="T139" s="6" t="s">
        <v>137</v>
      </c>
    </row>
    <row r="140" customFormat="false" ht="15" hidden="false" customHeight="true" outlineLevel="0" collapsed="false">
      <c r="A140" s="16" t="s">
        <v>41</v>
      </c>
      <c r="B140" s="16" t="s">
        <v>42</v>
      </c>
      <c r="C140" s="16" t="s">
        <v>129</v>
      </c>
      <c r="D140" s="16" t="s">
        <v>130</v>
      </c>
      <c r="E140" s="16" t="s">
        <v>131</v>
      </c>
      <c r="F140" s="16" t="s">
        <v>139</v>
      </c>
      <c r="G140" s="16" t="s">
        <v>133</v>
      </c>
      <c r="H140" s="16" t="s">
        <v>140</v>
      </c>
      <c r="I140" s="17" t="n">
        <v>23.2</v>
      </c>
      <c r="J140" s="17" t="n">
        <v>7</v>
      </c>
      <c r="K140" s="17" t="n">
        <v>7</v>
      </c>
      <c r="L140" s="17" t="n">
        <v>37</v>
      </c>
      <c r="M140" s="17" t="n">
        <v>10.3</v>
      </c>
      <c r="N140" s="17" t="n">
        <v>10.4</v>
      </c>
      <c r="O140" s="17" t="n">
        <v>0</v>
      </c>
      <c r="P140" s="17" t="n">
        <f aca="false">I140*(1+M140/100+N140/100+O140/100)+J140+L140/100*K140</f>
        <v>37.5924</v>
      </c>
      <c r="Q140" s="17" t="n">
        <f aca="false">P140/(1+J140/100+L140/100*K140/100)</f>
        <v>34.3027648508076</v>
      </c>
      <c r="R140" s="16" t="n">
        <v>1</v>
      </c>
      <c r="S140" s="16" t="n">
        <v>1</v>
      </c>
      <c r="T140" s="6" t="s">
        <v>135</v>
      </c>
    </row>
    <row r="141" customFormat="false" ht="15" hidden="false" customHeight="true" outlineLevel="0" collapsed="false">
      <c r="A141" s="16" t="s">
        <v>41</v>
      </c>
      <c r="B141" s="16" t="s">
        <v>42</v>
      </c>
      <c r="C141" s="16" t="s">
        <v>129</v>
      </c>
      <c r="D141" s="16" t="s">
        <v>130</v>
      </c>
      <c r="E141" s="16" t="s">
        <v>131</v>
      </c>
      <c r="F141" s="16" t="s">
        <v>139</v>
      </c>
      <c r="G141" s="16" t="s">
        <v>136</v>
      </c>
      <c r="H141" s="16" t="s">
        <v>140</v>
      </c>
      <c r="I141" s="17" t="n">
        <v>23.2</v>
      </c>
      <c r="J141" s="17" t="n">
        <v>7.48</v>
      </c>
      <c r="K141" s="17" t="n">
        <v>7</v>
      </c>
      <c r="L141" s="17" t="n">
        <v>37</v>
      </c>
      <c r="M141" s="17" t="n">
        <v>10.3</v>
      </c>
      <c r="N141" s="17" t="n">
        <v>10.4</v>
      </c>
      <c r="O141" s="17" t="n">
        <v>0</v>
      </c>
      <c r="P141" s="17" t="n">
        <f aca="false">I141*(1+M141/100+N141/100+O141/100)+J141+L141/100*K141</f>
        <v>38.0724</v>
      </c>
      <c r="Q141" s="17" t="n">
        <f aca="false">P141/(1+J141/100+L141/100*K141/100)</f>
        <v>34.5892613791224</v>
      </c>
      <c r="R141" s="16" t="n">
        <v>1</v>
      </c>
      <c r="S141" s="16" t="n">
        <v>1</v>
      </c>
      <c r="T141" s="6" t="s">
        <v>137</v>
      </c>
    </row>
    <row r="142" customFormat="false" ht="23.25" hidden="false" customHeight="true" outlineLevel="0" collapsed="false">
      <c r="A142" s="16" t="s">
        <v>41</v>
      </c>
      <c r="B142" s="16" t="s">
        <v>42</v>
      </c>
      <c r="C142" s="16" t="s">
        <v>129</v>
      </c>
      <c r="D142" s="16" t="s">
        <v>130</v>
      </c>
      <c r="E142" s="16" t="s">
        <v>141</v>
      </c>
      <c r="F142" s="16" t="s">
        <v>152</v>
      </c>
      <c r="G142" s="16" t="s">
        <v>136</v>
      </c>
      <c r="H142" s="16" t="s">
        <v>140</v>
      </c>
      <c r="I142" s="17" t="n">
        <v>23.2</v>
      </c>
      <c r="J142" s="17" t="n">
        <v>1.18</v>
      </c>
      <c r="K142" s="17" t="n">
        <v>1</v>
      </c>
      <c r="L142" s="17" t="n">
        <v>260</v>
      </c>
      <c r="M142" s="17" t="n">
        <v>10.3</v>
      </c>
      <c r="N142" s="17" t="n">
        <v>10.4</v>
      </c>
      <c r="O142" s="17" t="n">
        <v>0</v>
      </c>
      <c r="P142" s="17" t="n">
        <f aca="false">I142*(1+M142/100+N142/100+O142/100)+J142+L142/100*K142</f>
        <v>31.7824</v>
      </c>
      <c r="Q142" s="17" t="n">
        <f aca="false">P142/(1+J142/100+L142/100*K142/100)</f>
        <v>30.6247831952207</v>
      </c>
      <c r="R142" s="16" t="n">
        <v>1</v>
      </c>
      <c r="S142" s="16" t="n">
        <v>1</v>
      </c>
      <c r="T142" s="6" t="s">
        <v>153</v>
      </c>
    </row>
    <row r="143" customFormat="false" ht="23.25" hidden="false" customHeight="true" outlineLevel="0" collapsed="false">
      <c r="A143" s="16" t="s">
        <v>41</v>
      </c>
      <c r="B143" s="16" t="s">
        <v>42</v>
      </c>
      <c r="C143" s="16" t="s">
        <v>143</v>
      </c>
      <c r="D143" s="16" t="s">
        <v>144</v>
      </c>
      <c r="E143" s="16" t="s">
        <v>131</v>
      </c>
      <c r="F143" s="16" t="s">
        <v>145</v>
      </c>
      <c r="G143" s="16" t="s">
        <v>133</v>
      </c>
      <c r="H143" s="16" t="s">
        <v>146</v>
      </c>
      <c r="I143" s="17" t="n">
        <v>15</v>
      </c>
      <c r="J143" s="17" t="n">
        <v>7</v>
      </c>
      <c r="K143" s="17" t="n">
        <v>7</v>
      </c>
      <c r="L143" s="17" t="n">
        <v>37</v>
      </c>
      <c r="M143" s="17" t="n">
        <v>10.3</v>
      </c>
      <c r="N143" s="17" t="n">
        <v>10.4</v>
      </c>
      <c r="O143" s="17" t="n">
        <v>0</v>
      </c>
      <c r="P143" s="17" t="n">
        <f aca="false">I143*(1+M143/100+N143/100+O143/100)+J143+L143/100*K143</f>
        <v>27.695</v>
      </c>
      <c r="Q143" s="17" t="n">
        <f aca="false">P143/(1+J143/100+L143/100*K143/100)</f>
        <v>25.2714663746692</v>
      </c>
      <c r="R143" s="16" t="n">
        <v>0</v>
      </c>
      <c r="S143" s="16" t="n">
        <v>1</v>
      </c>
      <c r="T143" s="6" t="s">
        <v>147</v>
      </c>
    </row>
    <row r="144" customFormat="false" ht="23.25" hidden="false" customHeight="true" outlineLevel="0" collapsed="false">
      <c r="A144" s="16" t="s">
        <v>41</v>
      </c>
      <c r="B144" s="16" t="s">
        <v>42</v>
      </c>
      <c r="C144" s="16" t="s">
        <v>143</v>
      </c>
      <c r="D144" s="16" t="s">
        <v>144</v>
      </c>
      <c r="E144" s="16" t="s">
        <v>131</v>
      </c>
      <c r="F144" s="16" t="s">
        <v>145</v>
      </c>
      <c r="G144" s="16" t="s">
        <v>136</v>
      </c>
      <c r="H144" s="16" t="s">
        <v>146</v>
      </c>
      <c r="I144" s="17" t="n">
        <v>15</v>
      </c>
      <c r="J144" s="17" t="n">
        <v>7.48</v>
      </c>
      <c r="K144" s="17" t="n">
        <v>7</v>
      </c>
      <c r="L144" s="17" t="n">
        <v>37</v>
      </c>
      <c r="M144" s="17" t="n">
        <v>10.3</v>
      </c>
      <c r="N144" s="17" t="n">
        <v>10.4</v>
      </c>
      <c r="O144" s="17" t="n">
        <v>0</v>
      </c>
      <c r="P144" s="17" t="n">
        <f aca="false">I144*(1+M144/100+N144/100+O144/100)+J144+L144/100*K144</f>
        <v>28.175</v>
      </c>
      <c r="Q144" s="17" t="n">
        <f aca="false">P144/(1+J144/100+L144/100*K144/100)</f>
        <v>25.5973471427274</v>
      </c>
      <c r="R144" s="16" t="n">
        <v>0</v>
      </c>
      <c r="S144" s="16" t="n">
        <v>1</v>
      </c>
      <c r="T144" s="6" t="s">
        <v>147</v>
      </c>
    </row>
    <row r="145" customFormat="false" ht="34.5" hidden="false" customHeight="true" outlineLevel="0" collapsed="false">
      <c r="A145" s="16" t="s">
        <v>41</v>
      </c>
      <c r="B145" s="16" t="s">
        <v>42</v>
      </c>
      <c r="C145" s="16" t="s">
        <v>143</v>
      </c>
      <c r="D145" s="16" t="s">
        <v>148</v>
      </c>
      <c r="E145" s="16" t="s">
        <v>131</v>
      </c>
      <c r="F145" s="16" t="s">
        <v>145</v>
      </c>
      <c r="G145" s="16" t="s">
        <v>136</v>
      </c>
      <c r="H145" s="16" t="s">
        <v>149</v>
      </c>
      <c r="I145" s="17" t="n">
        <v>19</v>
      </c>
      <c r="J145" s="17" t="n">
        <v>7.48</v>
      </c>
      <c r="K145" s="17" t="n">
        <v>7</v>
      </c>
      <c r="L145" s="17" t="n">
        <v>37</v>
      </c>
      <c r="M145" s="17" t="n">
        <v>10.3</v>
      </c>
      <c r="N145" s="17" t="n">
        <v>10.4</v>
      </c>
      <c r="O145" s="17" t="n">
        <v>0</v>
      </c>
      <c r="P145" s="17" t="n">
        <f aca="false">I145*(1+M145/100+N145/100+O145/100)+J145+L145/100*K145</f>
        <v>33.003</v>
      </c>
      <c r="Q145" s="17" t="n">
        <f aca="false">P145/(1+J145/100+L145/100*K145/100)</f>
        <v>29.9836467702371</v>
      </c>
      <c r="R145" s="16" t="n">
        <v>0</v>
      </c>
      <c r="S145" s="16" t="n">
        <v>1</v>
      </c>
      <c r="T145" s="6" t="s">
        <v>150</v>
      </c>
    </row>
    <row r="146" customFormat="false" ht="23.25" hidden="false" customHeight="true" outlineLevel="0" collapsed="false">
      <c r="A146" s="16" t="s">
        <v>41</v>
      </c>
      <c r="B146" s="16" t="s">
        <v>42</v>
      </c>
      <c r="C146" s="16" t="s">
        <v>143</v>
      </c>
      <c r="D146" s="16" t="s">
        <v>148</v>
      </c>
      <c r="E146" s="16" t="s">
        <v>131</v>
      </c>
      <c r="F146" s="16" t="s">
        <v>132</v>
      </c>
      <c r="G146" s="16" t="s">
        <v>136</v>
      </c>
      <c r="H146" s="16" t="s">
        <v>149</v>
      </c>
      <c r="I146" s="17" t="n">
        <v>19</v>
      </c>
      <c r="J146" s="17" t="n">
        <v>3.75</v>
      </c>
      <c r="K146" s="17" t="n">
        <v>3.5</v>
      </c>
      <c r="L146" s="17" t="n">
        <v>37</v>
      </c>
      <c r="M146" s="17" t="n">
        <v>10.3</v>
      </c>
      <c r="N146" s="17" t="n">
        <v>10.4</v>
      </c>
      <c r="O146" s="17" t="n">
        <v>0</v>
      </c>
      <c r="P146" s="17" t="n">
        <f aca="false">I146*(1+M146/100+N146/100+O146/100)+J146+L146/100*K146</f>
        <v>27.978</v>
      </c>
      <c r="Q146" s="17" t="n">
        <f aca="false">P146/(1+J146/100+L146/100*K146/100)</f>
        <v>26.6342995858918</v>
      </c>
      <c r="R146" s="16" t="n">
        <v>0</v>
      </c>
      <c r="S146" s="16" t="n">
        <v>1</v>
      </c>
      <c r="T146" s="6" t="s">
        <v>151</v>
      </c>
    </row>
    <row r="147" customFormat="false" ht="23.25" hidden="false" customHeight="true" outlineLevel="0" collapsed="false">
      <c r="A147" s="16" t="s">
        <v>41</v>
      </c>
      <c r="B147" s="16" t="s">
        <v>42</v>
      </c>
      <c r="C147" s="16" t="s">
        <v>143</v>
      </c>
      <c r="D147" s="16" t="s">
        <v>148</v>
      </c>
      <c r="E147" s="16" t="s">
        <v>131</v>
      </c>
      <c r="F147" s="16" t="s">
        <v>138</v>
      </c>
      <c r="G147" s="16" t="s">
        <v>136</v>
      </c>
      <c r="H147" s="16" t="s">
        <v>149</v>
      </c>
      <c r="I147" s="17" t="n">
        <v>19</v>
      </c>
      <c r="J147" s="17" t="n">
        <v>5.665</v>
      </c>
      <c r="K147" s="17" t="n">
        <v>5.3</v>
      </c>
      <c r="L147" s="17" t="n">
        <v>37</v>
      </c>
      <c r="M147" s="17" t="n">
        <v>10.3</v>
      </c>
      <c r="N147" s="17" t="n">
        <v>10.4</v>
      </c>
      <c r="O147" s="17" t="n">
        <v>0</v>
      </c>
      <c r="P147" s="17" t="n">
        <f aca="false">I147*(1+M147/100+N147/100+O147/100)+J147+L147/100*K147</f>
        <v>30.559</v>
      </c>
      <c r="Q147" s="17" t="n">
        <f aca="false">P147/(1+J147/100+L147/100*K147/100)</f>
        <v>28.3936966903908</v>
      </c>
      <c r="R147" s="16" t="n">
        <v>0</v>
      </c>
      <c r="S147" s="16" t="n">
        <v>1</v>
      </c>
      <c r="T147" s="6" t="s">
        <v>151</v>
      </c>
    </row>
    <row r="148" customFormat="false" ht="15" hidden="false" customHeight="true" outlineLevel="0" collapsed="false">
      <c r="A148" s="16" t="s">
        <v>43</v>
      </c>
      <c r="B148" s="16" t="s">
        <v>44</v>
      </c>
      <c r="C148" s="16" t="s">
        <v>129</v>
      </c>
      <c r="D148" s="16" t="s">
        <v>130</v>
      </c>
      <c r="E148" s="16" t="s">
        <v>131</v>
      </c>
      <c r="F148" s="16" t="s">
        <v>132</v>
      </c>
      <c r="G148" s="16" t="s">
        <v>133</v>
      </c>
      <c r="H148" s="16" t="s">
        <v>134</v>
      </c>
      <c r="I148" s="17" t="n">
        <v>15</v>
      </c>
      <c r="J148" s="17" t="n">
        <v>3.5</v>
      </c>
      <c r="K148" s="17" t="n">
        <v>3.5</v>
      </c>
      <c r="L148" s="17" t="n">
        <v>37</v>
      </c>
      <c r="M148" s="17" t="n">
        <v>10.3</v>
      </c>
      <c r="N148" s="17" t="n">
        <v>10.4</v>
      </c>
      <c r="O148" s="17" t="n">
        <v>0</v>
      </c>
      <c r="P148" s="17" t="n">
        <f aca="false">I148*(1+M148/100+N148/100+O148/100)+J148+L148/100*K148</f>
        <v>22.9</v>
      </c>
      <c r="Q148" s="17" t="n">
        <f aca="false">P148/(1+J148/100+L148/100*K148/100)</f>
        <v>21.8521876043704</v>
      </c>
      <c r="R148" s="16" t="n">
        <v>1</v>
      </c>
      <c r="S148" s="16" t="n">
        <v>1</v>
      </c>
      <c r="T148" s="6" t="s">
        <v>135</v>
      </c>
    </row>
    <row r="149" customFormat="false" ht="15" hidden="false" customHeight="true" outlineLevel="0" collapsed="false">
      <c r="A149" s="16" t="s">
        <v>43</v>
      </c>
      <c r="B149" s="16" t="s">
        <v>44</v>
      </c>
      <c r="C149" s="16" t="s">
        <v>129</v>
      </c>
      <c r="D149" s="16" t="s">
        <v>130</v>
      </c>
      <c r="E149" s="16" t="s">
        <v>131</v>
      </c>
      <c r="F149" s="16" t="s">
        <v>132</v>
      </c>
      <c r="G149" s="16" t="s">
        <v>136</v>
      </c>
      <c r="H149" s="16" t="s">
        <v>134</v>
      </c>
      <c r="I149" s="17" t="n">
        <v>15</v>
      </c>
      <c r="J149" s="17" t="n">
        <v>3.75</v>
      </c>
      <c r="K149" s="17" t="n">
        <v>3.5</v>
      </c>
      <c r="L149" s="17" t="n">
        <v>37</v>
      </c>
      <c r="M149" s="17" t="n">
        <v>10.3</v>
      </c>
      <c r="N149" s="17" t="n">
        <v>10.4</v>
      </c>
      <c r="O149" s="17" t="n">
        <v>0</v>
      </c>
      <c r="P149" s="17" t="n">
        <f aca="false">I149*(1+M149/100+N149/100+O149/100)+J149+L149/100*K149</f>
        <v>23.15</v>
      </c>
      <c r="Q149" s="17" t="n">
        <f aca="false">P149/(1+J149/100+L149/100*K149/100)</f>
        <v>22.0381741158551</v>
      </c>
      <c r="R149" s="16" t="n">
        <v>1</v>
      </c>
      <c r="S149" s="16" t="n">
        <v>1</v>
      </c>
      <c r="T149" s="6" t="s">
        <v>137</v>
      </c>
    </row>
    <row r="150" customFormat="false" ht="15" hidden="false" customHeight="true" outlineLevel="0" collapsed="false">
      <c r="A150" s="16" t="s">
        <v>43</v>
      </c>
      <c r="B150" s="16" t="s">
        <v>44</v>
      </c>
      <c r="C150" s="16" t="s">
        <v>129</v>
      </c>
      <c r="D150" s="16" t="s">
        <v>130</v>
      </c>
      <c r="E150" s="16" t="s">
        <v>131</v>
      </c>
      <c r="F150" s="16" t="s">
        <v>138</v>
      </c>
      <c r="G150" s="16" t="s">
        <v>133</v>
      </c>
      <c r="H150" s="16" t="s">
        <v>134</v>
      </c>
      <c r="I150" s="17" t="n">
        <v>15</v>
      </c>
      <c r="J150" s="17" t="n">
        <v>5.3</v>
      </c>
      <c r="K150" s="17" t="n">
        <v>5.3</v>
      </c>
      <c r="L150" s="17" t="n">
        <v>37</v>
      </c>
      <c r="M150" s="17" t="n">
        <v>10.3</v>
      </c>
      <c r="N150" s="17" t="n">
        <v>10.4</v>
      </c>
      <c r="O150" s="17" t="n">
        <v>0</v>
      </c>
      <c r="P150" s="17" t="n">
        <f aca="false">I150*(1+M150/100+N150/100+O150/100)+J150+L150/100*K150</f>
        <v>25.366</v>
      </c>
      <c r="Q150" s="17" t="n">
        <f aca="false">P150/(1+J150/100+L150/100*K150/100)</f>
        <v>23.6488565275356</v>
      </c>
      <c r="R150" s="16" t="n">
        <v>1</v>
      </c>
      <c r="S150" s="16" t="n">
        <v>1</v>
      </c>
      <c r="T150" s="6" t="s">
        <v>135</v>
      </c>
    </row>
    <row r="151" customFormat="false" ht="15" hidden="false" customHeight="true" outlineLevel="0" collapsed="false">
      <c r="A151" s="16" t="s">
        <v>43</v>
      </c>
      <c r="B151" s="16" t="s">
        <v>44</v>
      </c>
      <c r="C151" s="16" t="s">
        <v>129</v>
      </c>
      <c r="D151" s="16" t="s">
        <v>130</v>
      </c>
      <c r="E151" s="16" t="s">
        <v>131</v>
      </c>
      <c r="F151" s="16" t="s">
        <v>138</v>
      </c>
      <c r="G151" s="16" t="s">
        <v>136</v>
      </c>
      <c r="H151" s="16" t="s">
        <v>134</v>
      </c>
      <c r="I151" s="17" t="n">
        <v>15</v>
      </c>
      <c r="J151" s="17" t="n">
        <v>5.665</v>
      </c>
      <c r="K151" s="17" t="n">
        <v>5.3</v>
      </c>
      <c r="L151" s="17" t="n">
        <v>37</v>
      </c>
      <c r="M151" s="17" t="n">
        <v>10.3</v>
      </c>
      <c r="N151" s="17" t="n">
        <v>10.4</v>
      </c>
      <c r="O151" s="17" t="n">
        <v>0</v>
      </c>
      <c r="P151" s="17" t="n">
        <f aca="false">I151*(1+M151/100+N151/100+O151/100)+J151+L151/100*K151</f>
        <v>25.731</v>
      </c>
      <c r="Q151" s="17" t="n">
        <f aca="false">P151/(1+J151/100+L151/100*K151/100)</f>
        <v>23.907791797521</v>
      </c>
      <c r="R151" s="16" t="n">
        <v>1</v>
      </c>
      <c r="S151" s="16" t="n">
        <v>1</v>
      </c>
      <c r="T151" s="6" t="s">
        <v>137</v>
      </c>
    </row>
    <row r="152" customFormat="false" ht="15" hidden="false" customHeight="true" outlineLevel="0" collapsed="false">
      <c r="A152" s="16" t="s">
        <v>43</v>
      </c>
      <c r="B152" s="16" t="s">
        <v>44</v>
      </c>
      <c r="C152" s="16" t="s">
        <v>129</v>
      </c>
      <c r="D152" s="16" t="s">
        <v>130</v>
      </c>
      <c r="E152" s="16" t="s">
        <v>131</v>
      </c>
      <c r="F152" s="16" t="s">
        <v>139</v>
      </c>
      <c r="G152" s="16" t="s">
        <v>133</v>
      </c>
      <c r="H152" s="16" t="s">
        <v>140</v>
      </c>
      <c r="I152" s="17" t="n">
        <v>23.2</v>
      </c>
      <c r="J152" s="17" t="n">
        <v>7</v>
      </c>
      <c r="K152" s="17" t="n">
        <v>7</v>
      </c>
      <c r="L152" s="17" t="n">
        <v>37</v>
      </c>
      <c r="M152" s="17" t="n">
        <v>10.3</v>
      </c>
      <c r="N152" s="17" t="n">
        <v>10.4</v>
      </c>
      <c r="O152" s="17" t="n">
        <v>0</v>
      </c>
      <c r="P152" s="17" t="n">
        <f aca="false">I152*(1+M152/100+N152/100+O152/100)+J152+L152/100*K152</f>
        <v>37.5924</v>
      </c>
      <c r="Q152" s="17" t="n">
        <f aca="false">P152/(1+J152/100+L152/100*K152/100)</f>
        <v>34.3027648508076</v>
      </c>
      <c r="R152" s="16" t="n">
        <v>1</v>
      </c>
      <c r="S152" s="16" t="n">
        <v>1</v>
      </c>
      <c r="T152" s="6" t="s">
        <v>135</v>
      </c>
    </row>
    <row r="153" customFormat="false" ht="15" hidden="false" customHeight="true" outlineLevel="0" collapsed="false">
      <c r="A153" s="16" t="s">
        <v>43</v>
      </c>
      <c r="B153" s="16" t="s">
        <v>44</v>
      </c>
      <c r="C153" s="16" t="s">
        <v>129</v>
      </c>
      <c r="D153" s="16" t="s">
        <v>130</v>
      </c>
      <c r="E153" s="16" t="s">
        <v>131</v>
      </c>
      <c r="F153" s="16" t="s">
        <v>139</v>
      </c>
      <c r="G153" s="16" t="s">
        <v>136</v>
      </c>
      <c r="H153" s="16" t="s">
        <v>140</v>
      </c>
      <c r="I153" s="17" t="n">
        <v>23.2</v>
      </c>
      <c r="J153" s="17" t="n">
        <v>7.48</v>
      </c>
      <c r="K153" s="17" t="n">
        <v>7</v>
      </c>
      <c r="L153" s="17" t="n">
        <v>37</v>
      </c>
      <c r="M153" s="17" t="n">
        <v>10.3</v>
      </c>
      <c r="N153" s="17" t="n">
        <v>10.4</v>
      </c>
      <c r="O153" s="17" t="n">
        <v>0</v>
      </c>
      <c r="P153" s="17" t="n">
        <f aca="false">I153*(1+M153/100+N153/100+O153/100)+J153+L153/100*K153</f>
        <v>38.0724</v>
      </c>
      <c r="Q153" s="17" t="n">
        <f aca="false">P153/(1+J153/100+L153/100*K153/100)</f>
        <v>34.5892613791224</v>
      </c>
      <c r="R153" s="16" t="n">
        <v>1</v>
      </c>
      <c r="S153" s="16" t="n">
        <v>1</v>
      </c>
      <c r="T153" s="6" t="s">
        <v>137</v>
      </c>
    </row>
    <row r="154" customFormat="false" ht="23.25" hidden="false" customHeight="true" outlineLevel="0" collapsed="false">
      <c r="A154" s="16" t="s">
        <v>43</v>
      </c>
      <c r="B154" s="16" t="s">
        <v>44</v>
      </c>
      <c r="C154" s="16" t="s">
        <v>129</v>
      </c>
      <c r="D154" s="16" t="s">
        <v>130</v>
      </c>
      <c r="E154" s="16" t="s">
        <v>141</v>
      </c>
      <c r="F154" s="16" t="s">
        <v>152</v>
      </c>
      <c r="G154" s="16" t="s">
        <v>136</v>
      </c>
      <c r="H154" s="16" t="s">
        <v>140</v>
      </c>
      <c r="I154" s="17" t="n">
        <v>23.2</v>
      </c>
      <c r="J154" s="17" t="n">
        <v>1.18</v>
      </c>
      <c r="K154" s="17" t="n">
        <v>1</v>
      </c>
      <c r="L154" s="17" t="n">
        <v>260</v>
      </c>
      <c r="M154" s="17" t="n">
        <v>10.3</v>
      </c>
      <c r="N154" s="17" t="n">
        <v>10.4</v>
      </c>
      <c r="O154" s="17" t="n">
        <v>0</v>
      </c>
      <c r="P154" s="17" t="n">
        <f aca="false">I154*(1+M154/100+N154/100+O154/100)+J154+L154/100*K154</f>
        <v>31.7824</v>
      </c>
      <c r="Q154" s="17" t="n">
        <f aca="false">P154/(1+J154/100+L154/100*K154/100)</f>
        <v>30.6247831952207</v>
      </c>
      <c r="R154" s="16" t="n">
        <v>1</v>
      </c>
      <c r="S154" s="16" t="n">
        <v>1</v>
      </c>
      <c r="T154" s="6" t="s">
        <v>153</v>
      </c>
    </row>
    <row r="155" customFormat="false" ht="23.25" hidden="false" customHeight="true" outlineLevel="0" collapsed="false">
      <c r="A155" s="16" t="s">
        <v>43</v>
      </c>
      <c r="B155" s="16" t="s">
        <v>44</v>
      </c>
      <c r="C155" s="16" t="s">
        <v>143</v>
      </c>
      <c r="D155" s="16" t="s">
        <v>144</v>
      </c>
      <c r="E155" s="16" t="s">
        <v>131</v>
      </c>
      <c r="F155" s="16" t="s">
        <v>145</v>
      </c>
      <c r="G155" s="16" t="s">
        <v>133</v>
      </c>
      <c r="H155" s="16" t="s">
        <v>146</v>
      </c>
      <c r="I155" s="17" t="n">
        <v>15</v>
      </c>
      <c r="J155" s="17" t="n">
        <v>7</v>
      </c>
      <c r="K155" s="17" t="n">
        <v>7</v>
      </c>
      <c r="L155" s="17" t="n">
        <v>37</v>
      </c>
      <c r="M155" s="17" t="n">
        <v>10.3</v>
      </c>
      <c r="N155" s="17" t="n">
        <v>10.4</v>
      </c>
      <c r="O155" s="17" t="n">
        <v>0</v>
      </c>
      <c r="P155" s="17" t="n">
        <f aca="false">I155*(1+M155/100+N155/100+O155/100)+J155+L155/100*K155</f>
        <v>27.695</v>
      </c>
      <c r="Q155" s="17" t="n">
        <f aca="false">P155/(1+J155/100+L155/100*K155/100)</f>
        <v>25.2714663746692</v>
      </c>
      <c r="R155" s="16" t="n">
        <v>0</v>
      </c>
      <c r="S155" s="16" t="n">
        <v>1</v>
      </c>
      <c r="T155" s="6" t="s">
        <v>147</v>
      </c>
    </row>
    <row r="156" customFormat="false" ht="23.25" hidden="false" customHeight="true" outlineLevel="0" collapsed="false">
      <c r="A156" s="16" t="s">
        <v>43</v>
      </c>
      <c r="B156" s="16" t="s">
        <v>44</v>
      </c>
      <c r="C156" s="16" t="s">
        <v>143</v>
      </c>
      <c r="D156" s="16" t="s">
        <v>144</v>
      </c>
      <c r="E156" s="16" t="s">
        <v>131</v>
      </c>
      <c r="F156" s="16" t="s">
        <v>145</v>
      </c>
      <c r="G156" s="16" t="s">
        <v>136</v>
      </c>
      <c r="H156" s="16" t="s">
        <v>146</v>
      </c>
      <c r="I156" s="17" t="n">
        <v>15</v>
      </c>
      <c r="J156" s="17" t="n">
        <v>7.48</v>
      </c>
      <c r="K156" s="17" t="n">
        <v>7</v>
      </c>
      <c r="L156" s="17" t="n">
        <v>37</v>
      </c>
      <c r="M156" s="17" t="n">
        <v>10.3</v>
      </c>
      <c r="N156" s="17" t="n">
        <v>10.4</v>
      </c>
      <c r="O156" s="17" t="n">
        <v>0</v>
      </c>
      <c r="P156" s="17" t="n">
        <f aca="false">I156*(1+M156/100+N156/100+O156/100)+J156+L156/100*K156</f>
        <v>28.175</v>
      </c>
      <c r="Q156" s="17" t="n">
        <f aca="false">P156/(1+J156/100+L156/100*K156/100)</f>
        <v>25.5973471427274</v>
      </c>
      <c r="R156" s="16" t="n">
        <v>0</v>
      </c>
      <c r="S156" s="16" t="n">
        <v>1</v>
      </c>
      <c r="T156" s="6" t="s">
        <v>147</v>
      </c>
    </row>
    <row r="157" customFormat="false" ht="34.5" hidden="false" customHeight="true" outlineLevel="0" collapsed="false">
      <c r="A157" s="16" t="s">
        <v>43</v>
      </c>
      <c r="B157" s="16" t="s">
        <v>44</v>
      </c>
      <c r="C157" s="16" t="s">
        <v>143</v>
      </c>
      <c r="D157" s="16" t="s">
        <v>148</v>
      </c>
      <c r="E157" s="16" t="s">
        <v>131</v>
      </c>
      <c r="F157" s="16" t="s">
        <v>145</v>
      </c>
      <c r="G157" s="16" t="s">
        <v>136</v>
      </c>
      <c r="H157" s="16" t="s">
        <v>149</v>
      </c>
      <c r="I157" s="17" t="n">
        <v>19</v>
      </c>
      <c r="J157" s="17" t="n">
        <v>7.48</v>
      </c>
      <c r="K157" s="17" t="n">
        <v>7</v>
      </c>
      <c r="L157" s="17" t="n">
        <v>37</v>
      </c>
      <c r="M157" s="17" t="n">
        <v>10.3</v>
      </c>
      <c r="N157" s="17" t="n">
        <v>10.4</v>
      </c>
      <c r="O157" s="17" t="n">
        <v>0</v>
      </c>
      <c r="P157" s="17" t="n">
        <f aca="false">I157*(1+M157/100+N157/100+O157/100)+J157+L157/100*K157</f>
        <v>33.003</v>
      </c>
      <c r="Q157" s="17" t="n">
        <f aca="false">P157/(1+J157/100+L157/100*K157/100)</f>
        <v>29.9836467702371</v>
      </c>
      <c r="R157" s="16" t="n">
        <v>0</v>
      </c>
      <c r="S157" s="16" t="n">
        <v>1</v>
      </c>
      <c r="T157" s="6" t="s">
        <v>150</v>
      </c>
    </row>
    <row r="158" customFormat="false" ht="23.25" hidden="false" customHeight="true" outlineLevel="0" collapsed="false">
      <c r="A158" s="16" t="s">
        <v>43</v>
      </c>
      <c r="B158" s="16" t="s">
        <v>44</v>
      </c>
      <c r="C158" s="16" t="s">
        <v>143</v>
      </c>
      <c r="D158" s="16" t="s">
        <v>148</v>
      </c>
      <c r="E158" s="16" t="s">
        <v>131</v>
      </c>
      <c r="F158" s="16" t="s">
        <v>132</v>
      </c>
      <c r="G158" s="16" t="s">
        <v>136</v>
      </c>
      <c r="H158" s="16" t="s">
        <v>149</v>
      </c>
      <c r="I158" s="17" t="n">
        <v>19</v>
      </c>
      <c r="J158" s="17" t="n">
        <v>3.75</v>
      </c>
      <c r="K158" s="17" t="n">
        <v>3.5</v>
      </c>
      <c r="L158" s="17" t="n">
        <v>37</v>
      </c>
      <c r="M158" s="17" t="n">
        <v>10.3</v>
      </c>
      <c r="N158" s="17" t="n">
        <v>10.4</v>
      </c>
      <c r="O158" s="17" t="n">
        <v>0</v>
      </c>
      <c r="P158" s="17" t="n">
        <f aca="false">I158*(1+M158/100+N158/100+O158/100)+J158+L158/100*K158</f>
        <v>27.978</v>
      </c>
      <c r="Q158" s="17" t="n">
        <f aca="false">P158/(1+J158/100+L158/100*K158/100)</f>
        <v>26.6342995858918</v>
      </c>
      <c r="R158" s="16" t="n">
        <v>0</v>
      </c>
      <c r="S158" s="16" t="n">
        <v>1</v>
      </c>
      <c r="T158" s="6" t="s">
        <v>151</v>
      </c>
    </row>
    <row r="159" customFormat="false" ht="23.25" hidden="false" customHeight="true" outlineLevel="0" collapsed="false">
      <c r="A159" s="16" t="s">
        <v>43</v>
      </c>
      <c r="B159" s="16" t="s">
        <v>44</v>
      </c>
      <c r="C159" s="16" t="s">
        <v>143</v>
      </c>
      <c r="D159" s="16" t="s">
        <v>148</v>
      </c>
      <c r="E159" s="16" t="s">
        <v>131</v>
      </c>
      <c r="F159" s="16" t="s">
        <v>138</v>
      </c>
      <c r="G159" s="16" t="s">
        <v>136</v>
      </c>
      <c r="H159" s="16" t="s">
        <v>149</v>
      </c>
      <c r="I159" s="17" t="n">
        <v>19</v>
      </c>
      <c r="J159" s="17" t="n">
        <v>5.665</v>
      </c>
      <c r="K159" s="17" t="n">
        <v>5.3</v>
      </c>
      <c r="L159" s="17" t="n">
        <v>37</v>
      </c>
      <c r="M159" s="17" t="n">
        <v>10.3</v>
      </c>
      <c r="N159" s="17" t="n">
        <v>10.4</v>
      </c>
      <c r="O159" s="17" t="n">
        <v>0</v>
      </c>
      <c r="P159" s="17" t="n">
        <f aca="false">I159*(1+M159/100+N159/100+O159/100)+J159+L159/100*K159</f>
        <v>30.559</v>
      </c>
      <c r="Q159" s="17" t="n">
        <f aca="false">P159/(1+J159/100+L159/100*K159/100)</f>
        <v>28.3936966903908</v>
      </c>
      <c r="R159" s="16" t="n">
        <v>0</v>
      </c>
      <c r="S159" s="16" t="n">
        <v>1</v>
      </c>
      <c r="T159" s="6" t="s">
        <v>151</v>
      </c>
    </row>
    <row r="160" customFormat="false" ht="15" hidden="false" customHeight="true" outlineLevel="0" collapsed="false">
      <c r="A160" s="16" t="s">
        <v>46</v>
      </c>
      <c r="B160" s="16" t="s">
        <v>47</v>
      </c>
      <c r="C160" s="16" t="s">
        <v>129</v>
      </c>
      <c r="D160" s="16" t="s">
        <v>130</v>
      </c>
      <c r="E160" s="16" t="s">
        <v>131</v>
      </c>
      <c r="F160" s="16" t="s">
        <v>132</v>
      </c>
      <c r="G160" s="16" t="s">
        <v>133</v>
      </c>
      <c r="H160" s="16" t="s">
        <v>134</v>
      </c>
      <c r="I160" s="17" t="n">
        <v>15</v>
      </c>
      <c r="J160" s="17" t="n">
        <v>3.5</v>
      </c>
      <c r="K160" s="17" t="n">
        <v>3.5</v>
      </c>
      <c r="L160" s="17" t="n">
        <v>37</v>
      </c>
      <c r="M160" s="17" t="n">
        <v>10.3</v>
      </c>
      <c r="N160" s="17" t="n">
        <v>10.4</v>
      </c>
      <c r="O160" s="17" t="n">
        <v>0</v>
      </c>
      <c r="P160" s="17" t="n">
        <f aca="false">I160*(1+M160/100+N160/100+O160/100)+J160+L160/100*K160</f>
        <v>22.9</v>
      </c>
      <c r="Q160" s="17" t="n">
        <f aca="false">P160/(1+J160/100+L160/100*K160/100)</f>
        <v>21.8521876043704</v>
      </c>
      <c r="R160" s="16" t="n">
        <v>1</v>
      </c>
      <c r="S160" s="16" t="n">
        <v>1</v>
      </c>
      <c r="T160" s="6" t="s">
        <v>135</v>
      </c>
    </row>
    <row r="161" customFormat="false" ht="15" hidden="false" customHeight="true" outlineLevel="0" collapsed="false">
      <c r="A161" s="16" t="s">
        <v>46</v>
      </c>
      <c r="B161" s="16" t="s">
        <v>47</v>
      </c>
      <c r="C161" s="16" t="s">
        <v>129</v>
      </c>
      <c r="D161" s="16" t="s">
        <v>130</v>
      </c>
      <c r="E161" s="16" t="s">
        <v>131</v>
      </c>
      <c r="F161" s="16" t="s">
        <v>132</v>
      </c>
      <c r="G161" s="16" t="s">
        <v>136</v>
      </c>
      <c r="H161" s="16" t="s">
        <v>134</v>
      </c>
      <c r="I161" s="17" t="n">
        <v>15</v>
      </c>
      <c r="J161" s="17" t="n">
        <v>3.75</v>
      </c>
      <c r="K161" s="17" t="n">
        <v>3.5</v>
      </c>
      <c r="L161" s="17" t="n">
        <v>37</v>
      </c>
      <c r="M161" s="17" t="n">
        <v>10.3</v>
      </c>
      <c r="N161" s="17" t="n">
        <v>10.4</v>
      </c>
      <c r="O161" s="17" t="n">
        <v>0</v>
      </c>
      <c r="P161" s="17" t="n">
        <f aca="false">I161*(1+M161/100+N161/100+O161/100)+J161+L161/100*K161</f>
        <v>23.15</v>
      </c>
      <c r="Q161" s="17" t="n">
        <f aca="false">P161/(1+J161/100+L161/100*K161/100)</f>
        <v>22.0381741158551</v>
      </c>
      <c r="R161" s="16" t="n">
        <v>1</v>
      </c>
      <c r="S161" s="16" t="n">
        <v>1</v>
      </c>
      <c r="T161" s="6" t="s">
        <v>137</v>
      </c>
    </row>
    <row r="162" customFormat="false" ht="15" hidden="false" customHeight="true" outlineLevel="0" collapsed="false">
      <c r="A162" s="16" t="s">
        <v>46</v>
      </c>
      <c r="B162" s="16" t="s">
        <v>47</v>
      </c>
      <c r="C162" s="16" t="s">
        <v>129</v>
      </c>
      <c r="D162" s="16" t="s">
        <v>130</v>
      </c>
      <c r="E162" s="16" t="s">
        <v>131</v>
      </c>
      <c r="F162" s="16" t="s">
        <v>138</v>
      </c>
      <c r="G162" s="16" t="s">
        <v>133</v>
      </c>
      <c r="H162" s="16" t="s">
        <v>134</v>
      </c>
      <c r="I162" s="17" t="n">
        <v>15</v>
      </c>
      <c r="J162" s="17" t="n">
        <v>5.3</v>
      </c>
      <c r="K162" s="17" t="n">
        <v>5.3</v>
      </c>
      <c r="L162" s="17" t="n">
        <v>37</v>
      </c>
      <c r="M162" s="17" t="n">
        <v>10.3</v>
      </c>
      <c r="N162" s="17" t="n">
        <v>10.4</v>
      </c>
      <c r="O162" s="17" t="n">
        <v>0</v>
      </c>
      <c r="P162" s="17" t="n">
        <f aca="false">I162*(1+M162/100+N162/100+O162/100)+J162+L162/100*K162</f>
        <v>25.366</v>
      </c>
      <c r="Q162" s="17" t="n">
        <f aca="false">P162/(1+J162/100+L162/100*K162/100)</f>
        <v>23.6488565275356</v>
      </c>
      <c r="R162" s="16" t="n">
        <v>1</v>
      </c>
      <c r="S162" s="16" t="n">
        <v>1</v>
      </c>
      <c r="T162" s="6" t="s">
        <v>135</v>
      </c>
    </row>
    <row r="163" customFormat="false" ht="15" hidden="false" customHeight="true" outlineLevel="0" collapsed="false">
      <c r="A163" s="16" t="s">
        <v>46</v>
      </c>
      <c r="B163" s="16" t="s">
        <v>47</v>
      </c>
      <c r="C163" s="16" t="s">
        <v>129</v>
      </c>
      <c r="D163" s="16" t="s">
        <v>130</v>
      </c>
      <c r="E163" s="16" t="s">
        <v>131</v>
      </c>
      <c r="F163" s="16" t="s">
        <v>138</v>
      </c>
      <c r="G163" s="16" t="s">
        <v>136</v>
      </c>
      <c r="H163" s="16" t="s">
        <v>134</v>
      </c>
      <c r="I163" s="17" t="n">
        <v>15</v>
      </c>
      <c r="J163" s="17" t="n">
        <v>5.665</v>
      </c>
      <c r="K163" s="17" t="n">
        <v>5.3</v>
      </c>
      <c r="L163" s="17" t="n">
        <v>37</v>
      </c>
      <c r="M163" s="17" t="n">
        <v>10.3</v>
      </c>
      <c r="N163" s="17" t="n">
        <v>10.4</v>
      </c>
      <c r="O163" s="17" t="n">
        <v>0</v>
      </c>
      <c r="P163" s="17" t="n">
        <f aca="false">I163*(1+M163/100+N163/100+O163/100)+J163+L163/100*K163</f>
        <v>25.731</v>
      </c>
      <c r="Q163" s="17" t="n">
        <f aca="false">P163/(1+J163/100+L163/100*K163/100)</f>
        <v>23.907791797521</v>
      </c>
      <c r="R163" s="16" t="n">
        <v>1</v>
      </c>
      <c r="S163" s="16" t="n">
        <v>1</v>
      </c>
      <c r="T163" s="6" t="s">
        <v>137</v>
      </c>
    </row>
    <row r="164" customFormat="false" ht="15" hidden="false" customHeight="true" outlineLevel="0" collapsed="false">
      <c r="A164" s="16" t="s">
        <v>46</v>
      </c>
      <c r="B164" s="16" t="s">
        <v>47</v>
      </c>
      <c r="C164" s="16" t="s">
        <v>129</v>
      </c>
      <c r="D164" s="16" t="s">
        <v>130</v>
      </c>
      <c r="E164" s="16" t="s">
        <v>131</v>
      </c>
      <c r="F164" s="16" t="s">
        <v>139</v>
      </c>
      <c r="G164" s="16" t="s">
        <v>133</v>
      </c>
      <c r="H164" s="16" t="s">
        <v>140</v>
      </c>
      <c r="I164" s="17" t="n">
        <v>23.2</v>
      </c>
      <c r="J164" s="17" t="n">
        <v>7</v>
      </c>
      <c r="K164" s="17" t="n">
        <v>7</v>
      </c>
      <c r="L164" s="17" t="n">
        <v>37</v>
      </c>
      <c r="M164" s="17" t="n">
        <v>10.3</v>
      </c>
      <c r="N164" s="17" t="n">
        <v>10.4</v>
      </c>
      <c r="O164" s="17" t="n">
        <v>0</v>
      </c>
      <c r="P164" s="17" t="n">
        <f aca="false">I164*(1+M164/100+N164/100+O164/100)+J164+L164/100*K164</f>
        <v>37.5924</v>
      </c>
      <c r="Q164" s="17" t="n">
        <f aca="false">P164/(1+J164/100+L164/100*K164/100)</f>
        <v>34.3027648508076</v>
      </c>
      <c r="R164" s="16" t="n">
        <v>1</v>
      </c>
      <c r="S164" s="16" t="n">
        <v>1</v>
      </c>
      <c r="T164" s="6" t="s">
        <v>135</v>
      </c>
    </row>
    <row r="165" customFormat="false" ht="15" hidden="false" customHeight="true" outlineLevel="0" collapsed="false">
      <c r="A165" s="16" t="s">
        <v>46</v>
      </c>
      <c r="B165" s="16" t="s">
        <v>47</v>
      </c>
      <c r="C165" s="16" t="s">
        <v>129</v>
      </c>
      <c r="D165" s="16" t="s">
        <v>130</v>
      </c>
      <c r="E165" s="16" t="s">
        <v>131</v>
      </c>
      <c r="F165" s="16" t="s">
        <v>139</v>
      </c>
      <c r="G165" s="16" t="s">
        <v>136</v>
      </c>
      <c r="H165" s="16" t="s">
        <v>140</v>
      </c>
      <c r="I165" s="17" t="n">
        <v>23.2</v>
      </c>
      <c r="J165" s="17" t="n">
        <v>7.48</v>
      </c>
      <c r="K165" s="17" t="n">
        <v>7</v>
      </c>
      <c r="L165" s="17" t="n">
        <v>37</v>
      </c>
      <c r="M165" s="17" t="n">
        <v>10.3</v>
      </c>
      <c r="N165" s="17" t="n">
        <v>10.4</v>
      </c>
      <c r="O165" s="17" t="n">
        <v>0</v>
      </c>
      <c r="P165" s="17" t="n">
        <f aca="false">I165*(1+M165/100+N165/100+O165/100)+J165+L165/100*K165</f>
        <v>38.0724</v>
      </c>
      <c r="Q165" s="17" t="n">
        <f aca="false">P165/(1+J165/100+L165/100*K165/100)</f>
        <v>34.5892613791224</v>
      </c>
      <c r="R165" s="16" t="n">
        <v>1</v>
      </c>
      <c r="S165" s="16" t="n">
        <v>1</v>
      </c>
      <c r="T165" s="6" t="s">
        <v>137</v>
      </c>
    </row>
    <row r="166" customFormat="false" ht="15" hidden="false" customHeight="true" outlineLevel="0" collapsed="false">
      <c r="A166" s="16" t="s">
        <v>46</v>
      </c>
      <c r="B166" s="16" t="s">
        <v>47</v>
      </c>
      <c r="C166" s="16" t="s">
        <v>129</v>
      </c>
      <c r="D166" s="16" t="s">
        <v>130</v>
      </c>
      <c r="E166" s="16" t="s">
        <v>131</v>
      </c>
      <c r="F166" s="16" t="s">
        <v>132</v>
      </c>
      <c r="G166" s="16" t="s">
        <v>136</v>
      </c>
      <c r="H166" s="16" t="s">
        <v>154</v>
      </c>
      <c r="I166" s="17" t="n">
        <v>17</v>
      </c>
      <c r="J166" s="17" t="n">
        <v>3.75</v>
      </c>
      <c r="K166" s="17" t="n">
        <v>3.5</v>
      </c>
      <c r="L166" s="17" t="n">
        <v>37</v>
      </c>
      <c r="M166" s="17" t="n">
        <v>10.3</v>
      </c>
      <c r="N166" s="17" t="n">
        <v>10.4</v>
      </c>
      <c r="O166" s="17" t="n">
        <v>0</v>
      </c>
      <c r="P166" s="17" t="n">
        <f aca="false">I166*(1+M166/100+N166/100+O166/100)+J166+L166/100*K166</f>
        <v>25.564</v>
      </c>
      <c r="Q166" s="17" t="n">
        <f aca="false">P166/(1+J166/100+L166/100*K166/100)</f>
        <v>24.3362368508734</v>
      </c>
      <c r="R166" s="16" t="n">
        <v>1</v>
      </c>
      <c r="S166" s="16" t="n">
        <v>1</v>
      </c>
      <c r="T166" s="6" t="s">
        <v>155</v>
      </c>
    </row>
    <row r="167" customFormat="false" ht="15" hidden="false" customHeight="true" outlineLevel="0" collapsed="false">
      <c r="A167" s="16" t="s">
        <v>46</v>
      </c>
      <c r="B167" s="16" t="s">
        <v>47</v>
      </c>
      <c r="C167" s="16" t="s">
        <v>129</v>
      </c>
      <c r="D167" s="16" t="s">
        <v>130</v>
      </c>
      <c r="E167" s="16" t="s">
        <v>131</v>
      </c>
      <c r="F167" s="16" t="s">
        <v>138</v>
      </c>
      <c r="G167" s="16" t="s">
        <v>136</v>
      </c>
      <c r="H167" s="16" t="s">
        <v>154</v>
      </c>
      <c r="I167" s="17" t="n">
        <v>17</v>
      </c>
      <c r="J167" s="17" t="n">
        <v>5.665</v>
      </c>
      <c r="K167" s="17" t="n">
        <v>5.3</v>
      </c>
      <c r="L167" s="17" t="n">
        <v>37</v>
      </c>
      <c r="M167" s="17" t="n">
        <v>10.3</v>
      </c>
      <c r="N167" s="17" t="n">
        <v>10.4</v>
      </c>
      <c r="O167" s="17" t="n">
        <v>0</v>
      </c>
      <c r="P167" s="17" t="n">
        <f aca="false">I167*(1+M167/100+N167/100+O167/100)+J167+L167/100*K167</f>
        <v>28.145</v>
      </c>
      <c r="Q167" s="17" t="n">
        <f aca="false">P167/(1+J167/100+L167/100*K167/100)</f>
        <v>26.1507442439559</v>
      </c>
      <c r="R167" s="16" t="n">
        <v>1</v>
      </c>
      <c r="S167" s="16" t="n">
        <v>1</v>
      </c>
      <c r="T167" s="6" t="s">
        <v>155</v>
      </c>
    </row>
    <row r="168" customFormat="false" ht="23.25" hidden="false" customHeight="true" outlineLevel="0" collapsed="false">
      <c r="A168" s="16" t="s">
        <v>46</v>
      </c>
      <c r="B168" s="16" t="s">
        <v>47</v>
      </c>
      <c r="C168" s="16" t="s">
        <v>129</v>
      </c>
      <c r="D168" s="16" t="s">
        <v>130</v>
      </c>
      <c r="E168" s="16" t="s">
        <v>141</v>
      </c>
      <c r="F168" s="16" t="s">
        <v>152</v>
      </c>
      <c r="G168" s="16" t="s">
        <v>136</v>
      </c>
      <c r="H168" s="16" t="s">
        <v>140</v>
      </c>
      <c r="I168" s="17" t="n">
        <v>23.2</v>
      </c>
      <c r="J168" s="17" t="n">
        <v>1.18</v>
      </c>
      <c r="K168" s="17" t="n">
        <v>1</v>
      </c>
      <c r="L168" s="17" t="n">
        <v>260</v>
      </c>
      <c r="M168" s="17" t="n">
        <v>10.3</v>
      </c>
      <c r="N168" s="17" t="n">
        <v>10.4</v>
      </c>
      <c r="O168" s="17" t="n">
        <v>0</v>
      </c>
      <c r="P168" s="17" t="n">
        <f aca="false">I168*(1+M168/100+N168/100+O168/100)+J168+L168/100*K168</f>
        <v>31.7824</v>
      </c>
      <c r="Q168" s="17" t="n">
        <f aca="false">P168/(1+J168/100+L168/100*K168/100)</f>
        <v>30.6247831952207</v>
      </c>
      <c r="R168" s="16" t="n">
        <v>1</v>
      </c>
      <c r="S168" s="16" t="n">
        <v>1</v>
      </c>
      <c r="T168" s="6" t="s">
        <v>153</v>
      </c>
    </row>
    <row r="169" customFormat="false" ht="23.25" hidden="false" customHeight="true" outlineLevel="0" collapsed="false">
      <c r="A169" s="16" t="s">
        <v>46</v>
      </c>
      <c r="B169" s="16" t="s">
        <v>47</v>
      </c>
      <c r="C169" s="16" t="s">
        <v>143</v>
      </c>
      <c r="D169" s="16" t="s">
        <v>144</v>
      </c>
      <c r="E169" s="16" t="s">
        <v>131</v>
      </c>
      <c r="F169" s="16" t="s">
        <v>145</v>
      </c>
      <c r="G169" s="16" t="s">
        <v>133</v>
      </c>
      <c r="H169" s="16" t="s">
        <v>146</v>
      </c>
      <c r="I169" s="17" t="n">
        <v>15</v>
      </c>
      <c r="J169" s="17" t="n">
        <v>7</v>
      </c>
      <c r="K169" s="17" t="n">
        <v>7</v>
      </c>
      <c r="L169" s="17" t="n">
        <v>37</v>
      </c>
      <c r="M169" s="17" t="n">
        <v>10.3</v>
      </c>
      <c r="N169" s="17" t="n">
        <v>10.4</v>
      </c>
      <c r="O169" s="17" t="n">
        <v>0</v>
      </c>
      <c r="P169" s="17" t="n">
        <f aca="false">I169*(1+M169/100+N169/100+O169/100)+J169+L169/100*K169</f>
        <v>27.695</v>
      </c>
      <c r="Q169" s="17" t="n">
        <f aca="false">P169/(1+J169/100+L169/100*K169/100)</f>
        <v>25.2714663746692</v>
      </c>
      <c r="R169" s="16" t="n">
        <v>0</v>
      </c>
      <c r="S169" s="16" t="n">
        <v>1</v>
      </c>
      <c r="T169" s="6" t="s">
        <v>147</v>
      </c>
    </row>
    <row r="170" customFormat="false" ht="23.25" hidden="false" customHeight="true" outlineLevel="0" collapsed="false">
      <c r="A170" s="16" t="s">
        <v>46</v>
      </c>
      <c r="B170" s="16" t="s">
        <v>47</v>
      </c>
      <c r="C170" s="16" t="s">
        <v>143</v>
      </c>
      <c r="D170" s="16" t="s">
        <v>144</v>
      </c>
      <c r="E170" s="16" t="s">
        <v>131</v>
      </c>
      <c r="F170" s="16" t="s">
        <v>145</v>
      </c>
      <c r="G170" s="16" t="s">
        <v>136</v>
      </c>
      <c r="H170" s="16" t="s">
        <v>146</v>
      </c>
      <c r="I170" s="17" t="n">
        <v>15</v>
      </c>
      <c r="J170" s="17" t="n">
        <v>7.48</v>
      </c>
      <c r="K170" s="17" t="n">
        <v>7</v>
      </c>
      <c r="L170" s="17" t="n">
        <v>37</v>
      </c>
      <c r="M170" s="17" t="n">
        <v>10.3</v>
      </c>
      <c r="N170" s="17" t="n">
        <v>10.4</v>
      </c>
      <c r="O170" s="17" t="n">
        <v>0</v>
      </c>
      <c r="P170" s="17" t="n">
        <f aca="false">I170*(1+M170/100+N170/100+O170/100)+J170+L170/100*K170</f>
        <v>28.175</v>
      </c>
      <c r="Q170" s="17" t="n">
        <f aca="false">P170/(1+J170/100+L170/100*K170/100)</f>
        <v>25.5973471427274</v>
      </c>
      <c r="R170" s="16" t="n">
        <v>0</v>
      </c>
      <c r="S170" s="16" t="n">
        <v>1</v>
      </c>
      <c r="T170" s="6" t="s">
        <v>147</v>
      </c>
    </row>
    <row r="171" customFormat="false" ht="23.25" hidden="false" customHeight="true" outlineLevel="0" collapsed="false">
      <c r="A171" s="16" t="s">
        <v>46</v>
      </c>
      <c r="B171" s="16" t="s">
        <v>47</v>
      </c>
      <c r="C171" s="16" t="s">
        <v>143</v>
      </c>
      <c r="D171" s="16" t="s">
        <v>144</v>
      </c>
      <c r="E171" s="16" t="s">
        <v>131</v>
      </c>
      <c r="F171" s="16" t="s">
        <v>145</v>
      </c>
      <c r="G171" s="16" t="s">
        <v>136</v>
      </c>
      <c r="H171" s="16" t="s">
        <v>154</v>
      </c>
      <c r="I171" s="17" t="n">
        <v>17</v>
      </c>
      <c r="J171" s="17" t="n">
        <v>7.48</v>
      </c>
      <c r="K171" s="17" t="n">
        <v>7</v>
      </c>
      <c r="L171" s="17" t="n">
        <v>37</v>
      </c>
      <c r="M171" s="17" t="n">
        <v>10.3</v>
      </c>
      <c r="N171" s="17" t="n">
        <v>10.4</v>
      </c>
      <c r="O171" s="17" t="n">
        <v>0</v>
      </c>
      <c r="P171" s="17" t="n">
        <f aca="false">I171*(1+M171/100+N171/100+O171/100)+J171+L171/100*K171</f>
        <v>30.589</v>
      </c>
      <c r="Q171" s="17" t="n">
        <f aca="false">P171/(1+J171/100+L171/100*K171/100)</f>
        <v>27.7904969564822</v>
      </c>
      <c r="R171" s="16" t="n">
        <v>0</v>
      </c>
      <c r="S171" s="16" t="n">
        <v>1</v>
      </c>
      <c r="T171" s="6" t="s">
        <v>147</v>
      </c>
    </row>
    <row r="172" customFormat="false" ht="34.5" hidden="false" customHeight="true" outlineLevel="0" collapsed="false">
      <c r="A172" s="16" t="s">
        <v>46</v>
      </c>
      <c r="B172" s="16" t="s">
        <v>47</v>
      </c>
      <c r="C172" s="16" t="s">
        <v>143</v>
      </c>
      <c r="D172" s="16" t="s">
        <v>148</v>
      </c>
      <c r="E172" s="16" t="s">
        <v>131</v>
      </c>
      <c r="F172" s="16" t="s">
        <v>145</v>
      </c>
      <c r="G172" s="16" t="s">
        <v>136</v>
      </c>
      <c r="H172" s="16" t="s">
        <v>149</v>
      </c>
      <c r="I172" s="17" t="n">
        <v>19</v>
      </c>
      <c r="J172" s="17" t="n">
        <v>7.48</v>
      </c>
      <c r="K172" s="17" t="n">
        <v>7</v>
      </c>
      <c r="L172" s="17" t="n">
        <v>37</v>
      </c>
      <c r="M172" s="17" t="n">
        <v>10.3</v>
      </c>
      <c r="N172" s="17" t="n">
        <v>10.4</v>
      </c>
      <c r="O172" s="17" t="n">
        <v>0</v>
      </c>
      <c r="P172" s="17" t="n">
        <f aca="false">I172*(1+M172/100+N172/100+O172/100)+J172+L172/100*K172</f>
        <v>33.003</v>
      </c>
      <c r="Q172" s="17" t="n">
        <f aca="false">P172/(1+J172/100+L172/100*K172/100)</f>
        <v>29.9836467702371</v>
      </c>
      <c r="R172" s="16" t="n">
        <v>0</v>
      </c>
      <c r="S172" s="16" t="n">
        <v>1</v>
      </c>
      <c r="T172" s="6" t="s">
        <v>150</v>
      </c>
    </row>
    <row r="173" customFormat="false" ht="23.25" hidden="false" customHeight="true" outlineLevel="0" collapsed="false">
      <c r="A173" s="16" t="s">
        <v>46</v>
      </c>
      <c r="B173" s="16" t="s">
        <v>47</v>
      </c>
      <c r="C173" s="16" t="s">
        <v>143</v>
      </c>
      <c r="D173" s="16" t="s">
        <v>148</v>
      </c>
      <c r="E173" s="16" t="s">
        <v>131</v>
      </c>
      <c r="F173" s="16" t="s">
        <v>132</v>
      </c>
      <c r="G173" s="16" t="s">
        <v>136</v>
      </c>
      <c r="H173" s="16" t="s">
        <v>149</v>
      </c>
      <c r="I173" s="17" t="n">
        <v>19</v>
      </c>
      <c r="J173" s="17" t="n">
        <v>3.75</v>
      </c>
      <c r="K173" s="17" t="n">
        <v>3.5</v>
      </c>
      <c r="L173" s="17" t="n">
        <v>37</v>
      </c>
      <c r="M173" s="17" t="n">
        <v>10.3</v>
      </c>
      <c r="N173" s="17" t="n">
        <v>10.4</v>
      </c>
      <c r="O173" s="17" t="n">
        <v>0</v>
      </c>
      <c r="P173" s="17" t="n">
        <f aca="false">I173*(1+M173/100+N173/100+O173/100)+J173+L173/100*K173</f>
        <v>27.978</v>
      </c>
      <c r="Q173" s="17" t="n">
        <f aca="false">P173/(1+J173/100+L173/100*K173/100)</f>
        <v>26.6342995858918</v>
      </c>
      <c r="R173" s="16" t="n">
        <v>0</v>
      </c>
      <c r="S173" s="16" t="n">
        <v>1</v>
      </c>
      <c r="T173" s="6" t="s">
        <v>151</v>
      </c>
    </row>
    <row r="174" customFormat="false" ht="23.25" hidden="false" customHeight="true" outlineLevel="0" collapsed="false">
      <c r="A174" s="16" t="s">
        <v>46</v>
      </c>
      <c r="B174" s="16" t="s">
        <v>47</v>
      </c>
      <c r="C174" s="16" t="s">
        <v>143</v>
      </c>
      <c r="D174" s="16" t="s">
        <v>148</v>
      </c>
      <c r="E174" s="16" t="s">
        <v>131</v>
      </c>
      <c r="F174" s="16" t="s">
        <v>138</v>
      </c>
      <c r="G174" s="16" t="s">
        <v>136</v>
      </c>
      <c r="H174" s="16" t="s">
        <v>149</v>
      </c>
      <c r="I174" s="17" t="n">
        <v>19</v>
      </c>
      <c r="J174" s="17" t="n">
        <v>5.665</v>
      </c>
      <c r="K174" s="17" t="n">
        <v>5.3</v>
      </c>
      <c r="L174" s="17" t="n">
        <v>37</v>
      </c>
      <c r="M174" s="17" t="n">
        <v>10.3</v>
      </c>
      <c r="N174" s="17" t="n">
        <v>10.4</v>
      </c>
      <c r="O174" s="17" t="n">
        <v>0</v>
      </c>
      <c r="P174" s="17" t="n">
        <f aca="false">I174*(1+M174/100+N174/100+O174/100)+J174+L174/100*K174</f>
        <v>30.559</v>
      </c>
      <c r="Q174" s="17" t="n">
        <f aca="false">P174/(1+J174/100+L174/100*K174/100)</f>
        <v>28.3936966903908</v>
      </c>
      <c r="R174" s="16" t="n">
        <v>0</v>
      </c>
      <c r="S174" s="16" t="n">
        <v>1</v>
      </c>
      <c r="T174" s="6" t="s">
        <v>151</v>
      </c>
    </row>
    <row r="175" customFormat="false" ht="15" hidden="false" customHeight="true" outlineLevel="0" collapsed="false">
      <c r="A175" s="16" t="s">
        <v>49</v>
      </c>
      <c r="B175" s="16" t="s">
        <v>50</v>
      </c>
      <c r="C175" s="16" t="s">
        <v>129</v>
      </c>
      <c r="D175" s="16" t="s">
        <v>130</v>
      </c>
      <c r="E175" s="16" t="s">
        <v>131</v>
      </c>
      <c r="F175" s="16" t="s">
        <v>132</v>
      </c>
      <c r="G175" s="16" t="s">
        <v>133</v>
      </c>
      <c r="H175" s="16" t="s">
        <v>134</v>
      </c>
      <c r="I175" s="17" t="n">
        <v>15</v>
      </c>
      <c r="J175" s="17" t="n">
        <v>3.5</v>
      </c>
      <c r="K175" s="17" t="n">
        <v>3.5</v>
      </c>
      <c r="L175" s="17" t="n">
        <v>37</v>
      </c>
      <c r="M175" s="17" t="n">
        <v>10.3</v>
      </c>
      <c r="N175" s="17" t="n">
        <v>10.4</v>
      </c>
      <c r="O175" s="17" t="n">
        <v>4</v>
      </c>
      <c r="P175" s="17" t="n">
        <f aca="false">I175*(1+M175/100+N175/100+O175/100)+J175+L175/100*K175</f>
        <v>23.5</v>
      </c>
      <c r="Q175" s="17" t="n">
        <f aca="false">P175/(1+J175/100+L175/100*K175/100)</f>
        <v>22.4247340044849</v>
      </c>
      <c r="R175" s="16" t="n">
        <v>1</v>
      </c>
      <c r="S175" s="16" t="n">
        <v>1</v>
      </c>
      <c r="T175" s="6" t="s">
        <v>135</v>
      </c>
    </row>
    <row r="176" customFormat="false" ht="15" hidden="false" customHeight="true" outlineLevel="0" collapsed="false">
      <c r="A176" s="16" t="s">
        <v>49</v>
      </c>
      <c r="B176" s="16" t="s">
        <v>50</v>
      </c>
      <c r="C176" s="16" t="s">
        <v>129</v>
      </c>
      <c r="D176" s="16" t="s">
        <v>130</v>
      </c>
      <c r="E176" s="16" t="s">
        <v>131</v>
      </c>
      <c r="F176" s="16" t="s">
        <v>132</v>
      </c>
      <c r="G176" s="16" t="s">
        <v>136</v>
      </c>
      <c r="H176" s="16" t="s">
        <v>134</v>
      </c>
      <c r="I176" s="17" t="n">
        <v>15</v>
      </c>
      <c r="J176" s="17" t="n">
        <v>3.75</v>
      </c>
      <c r="K176" s="17" t="n">
        <v>3.5</v>
      </c>
      <c r="L176" s="17" t="n">
        <v>37</v>
      </c>
      <c r="M176" s="17" t="n">
        <v>10.3</v>
      </c>
      <c r="N176" s="17" t="n">
        <v>10.4</v>
      </c>
      <c r="O176" s="17" t="n">
        <v>4</v>
      </c>
      <c r="P176" s="17" t="n">
        <f aca="false">I176*(1+M176/100+N176/100+O176/100)+J176+L176/100*K176</f>
        <v>23.75</v>
      </c>
      <c r="Q176" s="17" t="n">
        <f aca="false">P176/(1+J176/100+L176/100*K176/100)</f>
        <v>22.6093578942358</v>
      </c>
      <c r="R176" s="16" t="n">
        <v>1</v>
      </c>
      <c r="S176" s="16" t="n">
        <v>1</v>
      </c>
      <c r="T176" s="6" t="s">
        <v>137</v>
      </c>
    </row>
    <row r="177" customFormat="false" ht="15" hidden="false" customHeight="true" outlineLevel="0" collapsed="false">
      <c r="A177" s="16" t="s">
        <v>49</v>
      </c>
      <c r="B177" s="16" t="s">
        <v>50</v>
      </c>
      <c r="C177" s="16" t="s">
        <v>129</v>
      </c>
      <c r="D177" s="16" t="s">
        <v>130</v>
      </c>
      <c r="E177" s="16" t="s">
        <v>131</v>
      </c>
      <c r="F177" s="16" t="s">
        <v>138</v>
      </c>
      <c r="G177" s="16" t="s">
        <v>133</v>
      </c>
      <c r="H177" s="16" t="s">
        <v>134</v>
      </c>
      <c r="I177" s="17" t="n">
        <v>15</v>
      </c>
      <c r="J177" s="17" t="n">
        <v>5.3</v>
      </c>
      <c r="K177" s="17" t="n">
        <v>5.3</v>
      </c>
      <c r="L177" s="17" t="n">
        <v>37</v>
      </c>
      <c r="M177" s="17" t="n">
        <v>10.3</v>
      </c>
      <c r="N177" s="17" t="n">
        <v>10.4</v>
      </c>
      <c r="O177" s="17" t="n">
        <v>4</v>
      </c>
      <c r="P177" s="17" t="n">
        <f aca="false">I177*(1+M177/100+N177/100+O177/100)+J177+L177/100*K177</f>
        <v>25.966</v>
      </c>
      <c r="Q177" s="17" t="n">
        <f aca="false">P177/(1+J177/100+L177/100*K177/100)</f>
        <v>24.2082397143417</v>
      </c>
      <c r="R177" s="16" t="n">
        <v>1</v>
      </c>
      <c r="S177" s="16" t="n">
        <v>1</v>
      </c>
      <c r="T177" s="6" t="s">
        <v>135</v>
      </c>
    </row>
    <row r="178" customFormat="false" ht="15" hidden="false" customHeight="true" outlineLevel="0" collapsed="false">
      <c r="A178" s="16" t="s">
        <v>49</v>
      </c>
      <c r="B178" s="16" t="s">
        <v>50</v>
      </c>
      <c r="C178" s="16" t="s">
        <v>129</v>
      </c>
      <c r="D178" s="16" t="s">
        <v>130</v>
      </c>
      <c r="E178" s="16" t="s">
        <v>131</v>
      </c>
      <c r="F178" s="16" t="s">
        <v>138</v>
      </c>
      <c r="G178" s="16" t="s">
        <v>136</v>
      </c>
      <c r="H178" s="16" t="s">
        <v>134</v>
      </c>
      <c r="I178" s="17" t="n">
        <v>15</v>
      </c>
      <c r="J178" s="17" t="n">
        <v>5.665</v>
      </c>
      <c r="K178" s="17" t="n">
        <v>5.3</v>
      </c>
      <c r="L178" s="17" t="n">
        <v>37</v>
      </c>
      <c r="M178" s="17" t="n">
        <v>10.3</v>
      </c>
      <c r="N178" s="17" t="n">
        <v>10.4</v>
      </c>
      <c r="O178" s="17" t="n">
        <v>4</v>
      </c>
      <c r="P178" s="17" t="n">
        <f aca="false">I178*(1+M178/100+N178/100+O178/100)+J178+L178/100*K178</f>
        <v>26.331</v>
      </c>
      <c r="Q178" s="17" t="n">
        <f aca="false">P178/(1+J178/100+L178/100*K178/100)</f>
        <v>24.4652779068255</v>
      </c>
      <c r="R178" s="16" t="n">
        <v>1</v>
      </c>
      <c r="S178" s="16" t="n">
        <v>1</v>
      </c>
      <c r="T178" s="6" t="s">
        <v>137</v>
      </c>
    </row>
    <row r="179" customFormat="false" ht="15" hidden="false" customHeight="true" outlineLevel="0" collapsed="false">
      <c r="A179" s="16" t="s">
        <v>49</v>
      </c>
      <c r="B179" s="16" t="s">
        <v>50</v>
      </c>
      <c r="C179" s="16" t="s">
        <v>129</v>
      </c>
      <c r="D179" s="16" t="s">
        <v>130</v>
      </c>
      <c r="E179" s="16" t="s">
        <v>131</v>
      </c>
      <c r="F179" s="16" t="s">
        <v>139</v>
      </c>
      <c r="G179" s="16" t="s">
        <v>133</v>
      </c>
      <c r="H179" s="16" t="s">
        <v>140</v>
      </c>
      <c r="I179" s="17" t="n">
        <v>23.2</v>
      </c>
      <c r="J179" s="17" t="n">
        <v>7</v>
      </c>
      <c r="K179" s="17" t="n">
        <v>7</v>
      </c>
      <c r="L179" s="17" t="n">
        <v>37</v>
      </c>
      <c r="M179" s="17" t="n">
        <v>10.3</v>
      </c>
      <c r="N179" s="17" t="n">
        <v>10.4</v>
      </c>
      <c r="O179" s="17" t="n">
        <v>4</v>
      </c>
      <c r="P179" s="17" t="n">
        <f aca="false">I179*(1+M179/100+N179/100+O179/100)+J179+L179/100*K179</f>
        <v>38.5204</v>
      </c>
      <c r="Q179" s="17" t="n">
        <f aca="false">P179/(1+J179/100+L179/100*K179/100)</f>
        <v>35.1495574413724</v>
      </c>
      <c r="R179" s="16" t="n">
        <v>1</v>
      </c>
      <c r="S179" s="16" t="n">
        <v>1</v>
      </c>
      <c r="T179" s="6" t="s">
        <v>135</v>
      </c>
    </row>
    <row r="180" customFormat="false" ht="15" hidden="false" customHeight="true" outlineLevel="0" collapsed="false">
      <c r="A180" s="16" t="s">
        <v>49</v>
      </c>
      <c r="B180" s="16" t="s">
        <v>50</v>
      </c>
      <c r="C180" s="16" t="s">
        <v>129</v>
      </c>
      <c r="D180" s="16" t="s">
        <v>130</v>
      </c>
      <c r="E180" s="16" t="s">
        <v>131</v>
      </c>
      <c r="F180" s="16" t="s">
        <v>139</v>
      </c>
      <c r="G180" s="16" t="s">
        <v>136</v>
      </c>
      <c r="H180" s="16" t="s">
        <v>140</v>
      </c>
      <c r="I180" s="17" t="n">
        <v>23.2</v>
      </c>
      <c r="J180" s="17" t="n">
        <v>7.48</v>
      </c>
      <c r="K180" s="17" t="n">
        <v>7</v>
      </c>
      <c r="L180" s="17" t="n">
        <v>37</v>
      </c>
      <c r="M180" s="17" t="n">
        <v>10.3</v>
      </c>
      <c r="N180" s="17" t="n">
        <v>10.4</v>
      </c>
      <c r="O180" s="17" t="n">
        <v>4</v>
      </c>
      <c r="P180" s="17" t="n">
        <f aca="false">I180*(1+M180/100+N180/100+O180/100)+J180+L180/100*K180</f>
        <v>39.0004</v>
      </c>
      <c r="Q180" s="17" t="n">
        <f aca="false">P180/(1+J180/100+L180/100*K180/100)</f>
        <v>35.4323612246752</v>
      </c>
      <c r="R180" s="16" t="n">
        <v>1</v>
      </c>
      <c r="S180" s="16" t="n">
        <v>1</v>
      </c>
      <c r="T180" s="6" t="s">
        <v>137</v>
      </c>
    </row>
    <row r="181" customFormat="false" ht="15" hidden="false" customHeight="true" outlineLevel="0" collapsed="false">
      <c r="A181" s="16" t="s">
        <v>49</v>
      </c>
      <c r="B181" s="16" t="s">
        <v>50</v>
      </c>
      <c r="C181" s="16" t="s">
        <v>129</v>
      </c>
      <c r="D181" s="16" t="s">
        <v>130</v>
      </c>
      <c r="E181" s="16" t="s">
        <v>131</v>
      </c>
      <c r="F181" s="16" t="s">
        <v>132</v>
      </c>
      <c r="G181" s="16" t="s">
        <v>136</v>
      </c>
      <c r="H181" s="16" t="s">
        <v>154</v>
      </c>
      <c r="I181" s="17" t="n">
        <v>17</v>
      </c>
      <c r="J181" s="17" t="n">
        <v>3.75</v>
      </c>
      <c r="K181" s="17" t="n">
        <v>3.5</v>
      </c>
      <c r="L181" s="17" t="n">
        <v>37</v>
      </c>
      <c r="M181" s="17" t="n">
        <v>10.3</v>
      </c>
      <c r="N181" s="17" t="n">
        <v>10.4</v>
      </c>
      <c r="O181" s="17" t="n">
        <v>4</v>
      </c>
      <c r="P181" s="17" t="n">
        <f aca="false">I181*(1+M181/100+N181/100+O181/100)+J181+L181/100*K181</f>
        <v>26.244</v>
      </c>
      <c r="Q181" s="17" t="n">
        <f aca="false">P181/(1+J181/100+L181/100*K181/100)</f>
        <v>24.9835784663716</v>
      </c>
      <c r="R181" s="16" t="n">
        <v>1</v>
      </c>
      <c r="S181" s="16" t="n">
        <v>1</v>
      </c>
      <c r="T181" s="6" t="s">
        <v>155</v>
      </c>
    </row>
    <row r="182" customFormat="false" ht="15" hidden="false" customHeight="true" outlineLevel="0" collapsed="false">
      <c r="A182" s="16" t="s">
        <v>49</v>
      </c>
      <c r="B182" s="16" t="s">
        <v>50</v>
      </c>
      <c r="C182" s="16" t="s">
        <v>129</v>
      </c>
      <c r="D182" s="16" t="s">
        <v>130</v>
      </c>
      <c r="E182" s="16" t="s">
        <v>131</v>
      </c>
      <c r="F182" s="16" t="s">
        <v>138</v>
      </c>
      <c r="G182" s="16" t="s">
        <v>136</v>
      </c>
      <c r="H182" s="16" t="s">
        <v>154</v>
      </c>
      <c r="I182" s="17" t="n">
        <v>17</v>
      </c>
      <c r="J182" s="17" t="n">
        <v>5.665</v>
      </c>
      <c r="K182" s="17" t="n">
        <v>5.3</v>
      </c>
      <c r="L182" s="17" t="n">
        <v>37</v>
      </c>
      <c r="M182" s="17" t="n">
        <v>10.3</v>
      </c>
      <c r="N182" s="17" t="n">
        <v>10.4</v>
      </c>
      <c r="O182" s="17" t="n">
        <v>4</v>
      </c>
      <c r="P182" s="17" t="n">
        <f aca="false">I182*(1+M182/100+N182/100+O182/100)+J182+L182/100*K182</f>
        <v>28.825</v>
      </c>
      <c r="Q182" s="17" t="n">
        <f aca="false">P182/(1+J182/100+L182/100*K182/100)</f>
        <v>26.782561834501</v>
      </c>
      <c r="R182" s="16" t="n">
        <v>1</v>
      </c>
      <c r="S182" s="16" t="n">
        <v>1</v>
      </c>
      <c r="T182" s="6" t="s">
        <v>155</v>
      </c>
    </row>
    <row r="183" customFormat="false" ht="23.25" hidden="false" customHeight="true" outlineLevel="0" collapsed="false">
      <c r="A183" s="16" t="s">
        <v>49</v>
      </c>
      <c r="B183" s="16" t="s">
        <v>50</v>
      </c>
      <c r="C183" s="16" t="s">
        <v>129</v>
      </c>
      <c r="D183" s="16" t="s">
        <v>130</v>
      </c>
      <c r="E183" s="16" t="s">
        <v>141</v>
      </c>
      <c r="F183" s="16" t="s">
        <v>152</v>
      </c>
      <c r="G183" s="16" t="s">
        <v>136</v>
      </c>
      <c r="H183" s="16" t="s">
        <v>140</v>
      </c>
      <c r="I183" s="17" t="n">
        <v>23.2</v>
      </c>
      <c r="J183" s="17" t="n">
        <v>1.18</v>
      </c>
      <c r="K183" s="17" t="n">
        <v>1</v>
      </c>
      <c r="L183" s="17" t="n">
        <v>260</v>
      </c>
      <c r="M183" s="17" t="n">
        <v>10.3</v>
      </c>
      <c r="N183" s="17" t="n">
        <v>10.4</v>
      </c>
      <c r="O183" s="17" t="n">
        <v>4</v>
      </c>
      <c r="P183" s="17" t="n">
        <f aca="false">I183*(1+M183/100+N183/100+O183/100)+J183+L183/100*K183</f>
        <v>32.7104</v>
      </c>
      <c r="Q183" s="17" t="n">
        <f aca="false">P183/(1+J183/100+L183/100*K183/100)</f>
        <v>31.5189824629023</v>
      </c>
      <c r="R183" s="16" t="n">
        <v>1</v>
      </c>
      <c r="S183" s="16" t="n">
        <v>1</v>
      </c>
      <c r="T183" s="6" t="s">
        <v>153</v>
      </c>
    </row>
    <row r="184" customFormat="false" ht="23.25" hidden="false" customHeight="true" outlineLevel="0" collapsed="false">
      <c r="A184" s="16" t="s">
        <v>49</v>
      </c>
      <c r="B184" s="16" t="s">
        <v>50</v>
      </c>
      <c r="C184" s="16" t="s">
        <v>143</v>
      </c>
      <c r="D184" s="16" t="s">
        <v>144</v>
      </c>
      <c r="E184" s="16" t="s">
        <v>131</v>
      </c>
      <c r="F184" s="16" t="s">
        <v>145</v>
      </c>
      <c r="G184" s="16" t="s">
        <v>133</v>
      </c>
      <c r="H184" s="16" t="s">
        <v>146</v>
      </c>
      <c r="I184" s="17" t="n">
        <v>15</v>
      </c>
      <c r="J184" s="17" t="n">
        <v>7</v>
      </c>
      <c r="K184" s="17" t="n">
        <v>7</v>
      </c>
      <c r="L184" s="17" t="n">
        <v>37</v>
      </c>
      <c r="M184" s="17" t="n">
        <v>10.3</v>
      </c>
      <c r="N184" s="17" t="n">
        <v>10.4</v>
      </c>
      <c r="O184" s="17" t="n">
        <v>4</v>
      </c>
      <c r="P184" s="17" t="n">
        <f aca="false">I184*(1+M184/100+N184/100+O184/100)+J184+L184/100*K184</f>
        <v>28.295</v>
      </c>
      <c r="Q184" s="17" t="n">
        <f aca="false">P184/(1+J184/100+L184/100*K184/100)</f>
        <v>25.8189615840861</v>
      </c>
      <c r="R184" s="16" t="n">
        <v>0</v>
      </c>
      <c r="S184" s="16" t="n">
        <v>1</v>
      </c>
      <c r="T184" s="6" t="s">
        <v>147</v>
      </c>
    </row>
    <row r="185" customFormat="false" ht="23.25" hidden="false" customHeight="true" outlineLevel="0" collapsed="false">
      <c r="A185" s="16" t="s">
        <v>49</v>
      </c>
      <c r="B185" s="16" t="s">
        <v>50</v>
      </c>
      <c r="C185" s="16" t="s">
        <v>143</v>
      </c>
      <c r="D185" s="16" t="s">
        <v>144</v>
      </c>
      <c r="E185" s="16" t="s">
        <v>131</v>
      </c>
      <c r="F185" s="16" t="s">
        <v>145</v>
      </c>
      <c r="G185" s="16" t="s">
        <v>136</v>
      </c>
      <c r="H185" s="16" t="s">
        <v>146</v>
      </c>
      <c r="I185" s="17" t="n">
        <v>15</v>
      </c>
      <c r="J185" s="17" t="n">
        <v>7.48</v>
      </c>
      <c r="K185" s="17" t="n">
        <v>7</v>
      </c>
      <c r="L185" s="17" t="n">
        <v>37</v>
      </c>
      <c r="M185" s="17" t="n">
        <v>10.3</v>
      </c>
      <c r="N185" s="17" t="n">
        <v>10.4</v>
      </c>
      <c r="O185" s="17" t="n">
        <v>4</v>
      </c>
      <c r="P185" s="17" t="n">
        <f aca="false">I185*(1+M185/100+N185/100+O185/100)+J185+L185/100*K185</f>
        <v>28.775</v>
      </c>
      <c r="Q185" s="17" t="n">
        <f aca="false">P185/(1+J185/100+L185/100*K185/100)</f>
        <v>26.14245480149</v>
      </c>
      <c r="R185" s="16" t="n">
        <v>0</v>
      </c>
      <c r="S185" s="16" t="n">
        <v>1</v>
      </c>
      <c r="T185" s="6" t="s">
        <v>147</v>
      </c>
    </row>
    <row r="186" customFormat="false" ht="23.25" hidden="false" customHeight="true" outlineLevel="0" collapsed="false">
      <c r="A186" s="16" t="s">
        <v>49</v>
      </c>
      <c r="B186" s="16" t="s">
        <v>50</v>
      </c>
      <c r="C186" s="16" t="s">
        <v>143</v>
      </c>
      <c r="D186" s="16" t="s">
        <v>144</v>
      </c>
      <c r="E186" s="16" t="s">
        <v>131</v>
      </c>
      <c r="F186" s="16" t="s">
        <v>145</v>
      </c>
      <c r="G186" s="16" t="s">
        <v>136</v>
      </c>
      <c r="H186" s="16" t="s">
        <v>154</v>
      </c>
      <c r="I186" s="17" t="n">
        <v>17</v>
      </c>
      <c r="J186" s="17" t="n">
        <v>7.48</v>
      </c>
      <c r="K186" s="17" t="n">
        <v>7</v>
      </c>
      <c r="L186" s="17" t="n">
        <v>37</v>
      </c>
      <c r="M186" s="17" t="n">
        <v>10.3</v>
      </c>
      <c r="N186" s="17" t="n">
        <v>10.4</v>
      </c>
      <c r="O186" s="17" t="n">
        <v>4</v>
      </c>
      <c r="P186" s="17" t="n">
        <f aca="false">I186*(1+M186/100+N186/100+O186/100)+J186+L186/100*K186</f>
        <v>31.269</v>
      </c>
      <c r="Q186" s="17" t="n">
        <f aca="false">P186/(1+J186/100+L186/100*K186/100)</f>
        <v>28.4082856364132</v>
      </c>
      <c r="R186" s="16" t="n">
        <v>0</v>
      </c>
      <c r="S186" s="16" t="n">
        <v>1</v>
      </c>
      <c r="T186" s="6" t="s">
        <v>147</v>
      </c>
    </row>
    <row r="187" customFormat="false" ht="34.5" hidden="false" customHeight="true" outlineLevel="0" collapsed="false">
      <c r="A187" s="16" t="s">
        <v>49</v>
      </c>
      <c r="B187" s="16" t="s">
        <v>50</v>
      </c>
      <c r="C187" s="16" t="s">
        <v>143</v>
      </c>
      <c r="D187" s="16" t="s">
        <v>148</v>
      </c>
      <c r="E187" s="16" t="s">
        <v>131</v>
      </c>
      <c r="F187" s="16" t="s">
        <v>145</v>
      </c>
      <c r="G187" s="16" t="s">
        <v>136</v>
      </c>
      <c r="H187" s="16" t="s">
        <v>149</v>
      </c>
      <c r="I187" s="17" t="n">
        <v>19</v>
      </c>
      <c r="J187" s="17" t="n">
        <v>7.48</v>
      </c>
      <c r="K187" s="17" t="n">
        <v>7</v>
      </c>
      <c r="L187" s="17" t="n">
        <v>37</v>
      </c>
      <c r="M187" s="17" t="n">
        <v>10.3</v>
      </c>
      <c r="N187" s="17" t="n">
        <v>10.4</v>
      </c>
      <c r="O187" s="17" t="n">
        <v>4</v>
      </c>
      <c r="P187" s="17" t="n">
        <f aca="false">I187*(1+M187/100+N187/100+O187/100)+J187+L187/100*K187</f>
        <v>33.763</v>
      </c>
      <c r="Q187" s="17" t="n">
        <f aca="false">P187/(1+J187/100+L187/100*K187/100)</f>
        <v>30.6741164713364</v>
      </c>
      <c r="R187" s="16" t="n">
        <v>0</v>
      </c>
      <c r="S187" s="16" t="n">
        <v>1</v>
      </c>
      <c r="T187" s="6" t="s">
        <v>150</v>
      </c>
    </row>
    <row r="188" customFormat="false" ht="23.25" hidden="false" customHeight="true" outlineLevel="0" collapsed="false">
      <c r="A188" s="16" t="s">
        <v>49</v>
      </c>
      <c r="B188" s="16" t="s">
        <v>50</v>
      </c>
      <c r="C188" s="16" t="s">
        <v>143</v>
      </c>
      <c r="D188" s="16" t="s">
        <v>148</v>
      </c>
      <c r="E188" s="16" t="s">
        <v>131</v>
      </c>
      <c r="F188" s="16" t="s">
        <v>132</v>
      </c>
      <c r="G188" s="16" t="s">
        <v>136</v>
      </c>
      <c r="H188" s="16" t="s">
        <v>149</v>
      </c>
      <c r="I188" s="17" t="n">
        <v>19</v>
      </c>
      <c r="J188" s="17" t="n">
        <v>3.75</v>
      </c>
      <c r="K188" s="17" t="n">
        <v>3.5</v>
      </c>
      <c r="L188" s="17" t="n">
        <v>37</v>
      </c>
      <c r="M188" s="17" t="n">
        <v>10.3</v>
      </c>
      <c r="N188" s="17" t="n">
        <v>10.4</v>
      </c>
      <c r="O188" s="17" t="n">
        <v>4</v>
      </c>
      <c r="P188" s="17" t="n">
        <f aca="false">I188*(1+M188/100+N188/100+O188/100)+J188+L188/100*K188</f>
        <v>28.738</v>
      </c>
      <c r="Q188" s="17" t="n">
        <f aca="false">P188/(1+J188/100+L188/100*K188/100)</f>
        <v>27.3577990385073</v>
      </c>
      <c r="R188" s="16" t="n">
        <v>0</v>
      </c>
      <c r="S188" s="16" t="n">
        <v>1</v>
      </c>
      <c r="T188" s="6" t="s">
        <v>151</v>
      </c>
    </row>
    <row r="189" customFormat="false" ht="23.25" hidden="false" customHeight="true" outlineLevel="0" collapsed="false">
      <c r="A189" s="16" t="s">
        <v>49</v>
      </c>
      <c r="B189" s="16" t="s">
        <v>50</v>
      </c>
      <c r="C189" s="16" t="s">
        <v>143</v>
      </c>
      <c r="D189" s="16" t="s">
        <v>148</v>
      </c>
      <c r="E189" s="16" t="s">
        <v>131</v>
      </c>
      <c r="F189" s="16" t="s">
        <v>138</v>
      </c>
      <c r="G189" s="16" t="s">
        <v>136</v>
      </c>
      <c r="H189" s="16" t="s">
        <v>149</v>
      </c>
      <c r="I189" s="17" t="n">
        <v>19</v>
      </c>
      <c r="J189" s="17" t="n">
        <v>5.665</v>
      </c>
      <c r="K189" s="17" t="n">
        <v>5.3</v>
      </c>
      <c r="L189" s="17" t="n">
        <v>37</v>
      </c>
      <c r="M189" s="17" t="n">
        <v>10.3</v>
      </c>
      <c r="N189" s="17" t="n">
        <v>10.4</v>
      </c>
      <c r="O189" s="17" t="n">
        <v>4</v>
      </c>
      <c r="P189" s="17" t="n">
        <f aca="false">I189*(1+M189/100+N189/100+O189/100)+J189+L189/100*K189</f>
        <v>31.319</v>
      </c>
      <c r="Q189" s="17" t="n">
        <f aca="false">P189/(1+J189/100+L189/100*K189/100)</f>
        <v>29.0998457621764</v>
      </c>
      <c r="R189" s="16" t="n">
        <v>0</v>
      </c>
      <c r="S189" s="16" t="n">
        <v>1</v>
      </c>
      <c r="T189" s="6" t="s">
        <v>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1"/>
    <col collapsed="false" customWidth="true" hidden="false" outlineLevel="0" max="15" min="3" style="1" width="16"/>
  </cols>
  <sheetData>
    <row r="1" customFormat="false" ht="69.75" hidden="false" customHeight="true" outlineLevel="0" collapsed="false">
      <c r="A1" s="4" t="s">
        <v>2</v>
      </c>
      <c r="B1" s="4" t="s">
        <v>3</v>
      </c>
      <c r="C1" s="4" t="s">
        <v>156</v>
      </c>
      <c r="D1" s="4" t="s">
        <v>157</v>
      </c>
      <c r="E1" s="4" t="s">
        <v>158</v>
      </c>
      <c r="F1" s="4" t="s">
        <v>159</v>
      </c>
      <c r="G1" s="4" t="s">
        <v>160</v>
      </c>
      <c r="H1" s="4" t="s">
        <v>159</v>
      </c>
      <c r="I1" s="4" t="s">
        <v>161</v>
      </c>
      <c r="J1" s="4" t="s">
        <v>162</v>
      </c>
      <c r="K1" s="4" t="s">
        <v>121</v>
      </c>
      <c r="L1" s="4" t="s">
        <v>163</v>
      </c>
      <c r="M1" s="4" t="s">
        <v>164</v>
      </c>
      <c r="N1" s="4" t="s">
        <v>165</v>
      </c>
      <c r="O1" s="4" t="s">
        <v>166</v>
      </c>
    </row>
    <row r="2" customFormat="false" ht="15" hidden="false" customHeight="true" outlineLevel="0" collapsed="false">
      <c r="A2" s="16" t="s">
        <v>10</v>
      </c>
      <c r="B2" s="16" t="s">
        <v>11</v>
      </c>
      <c r="C2" s="18" t="n">
        <v>25.5</v>
      </c>
      <c r="D2" s="18" t="s">
        <v>146</v>
      </c>
      <c r="E2" s="18" t="s">
        <v>167</v>
      </c>
      <c r="F2" s="18" t="s">
        <v>168</v>
      </c>
      <c r="G2" s="18" t="s">
        <v>169</v>
      </c>
      <c r="H2" s="18" t="s">
        <v>170</v>
      </c>
      <c r="I2" s="18" t="n">
        <v>81</v>
      </c>
      <c r="J2" s="18" t="n">
        <v>148</v>
      </c>
      <c r="K2" s="18" t="n">
        <v>0</v>
      </c>
      <c r="L2" s="18" t="n">
        <v>17.3</v>
      </c>
      <c r="M2" s="18" t="n">
        <v>20.7</v>
      </c>
      <c r="N2" s="18" t="n">
        <v>0</v>
      </c>
      <c r="O2" s="18" t="s">
        <v>171</v>
      </c>
    </row>
    <row r="3" customFormat="false" ht="15" hidden="false" customHeight="true" outlineLevel="0" collapsed="false">
      <c r="A3" s="16" t="s">
        <v>13</v>
      </c>
      <c r="B3" s="16" t="s">
        <v>14</v>
      </c>
      <c r="C3" s="18" t="n">
        <v>25.5</v>
      </c>
      <c r="D3" s="18" t="s">
        <v>146</v>
      </c>
      <c r="E3" s="18" t="s">
        <v>172</v>
      </c>
      <c r="F3" s="18" t="s">
        <v>173</v>
      </c>
      <c r="G3" s="18" t="s">
        <v>174</v>
      </c>
      <c r="H3" s="18" t="s">
        <v>175</v>
      </c>
      <c r="I3" s="18" t="n">
        <v>43.2</v>
      </c>
      <c r="J3" s="18" t="n">
        <v>67.4</v>
      </c>
      <c r="K3" s="18" t="n">
        <v>4.4</v>
      </c>
      <c r="L3" s="18" t="n">
        <v>12.9</v>
      </c>
      <c r="M3" s="18" t="n">
        <v>16.3</v>
      </c>
      <c r="N3" s="18" t="n">
        <v>0</v>
      </c>
      <c r="O3" s="18" t="s">
        <v>171</v>
      </c>
    </row>
    <row r="4" customFormat="false" ht="15" hidden="false" customHeight="true" outlineLevel="0" collapsed="false">
      <c r="A4" s="16" t="s">
        <v>16</v>
      </c>
      <c r="B4" s="16" t="s">
        <v>17</v>
      </c>
      <c r="C4" s="18" t="n">
        <v>23.9</v>
      </c>
      <c r="D4" s="18" t="s">
        <v>146</v>
      </c>
      <c r="E4" s="18" t="s">
        <v>172</v>
      </c>
      <c r="F4" s="18" t="s">
        <v>173</v>
      </c>
      <c r="G4" s="18" t="s">
        <v>176</v>
      </c>
      <c r="H4" s="18" t="s">
        <v>177</v>
      </c>
      <c r="I4" s="18" t="n">
        <v>43.2</v>
      </c>
      <c r="J4" s="18" t="n">
        <v>93.5</v>
      </c>
      <c r="K4" s="18" t="n">
        <v>4.4</v>
      </c>
      <c r="L4" s="18" t="n">
        <v>12.9</v>
      </c>
      <c r="M4" s="18" t="n">
        <v>16.3</v>
      </c>
      <c r="N4" s="18" t="n">
        <v>0</v>
      </c>
      <c r="O4" s="18" t="s">
        <v>171</v>
      </c>
    </row>
    <row r="5" customFormat="false" ht="15" hidden="false" customHeight="true" outlineLevel="0" collapsed="false">
      <c r="A5" s="16" t="s">
        <v>19</v>
      </c>
      <c r="B5" s="16" t="s">
        <v>20</v>
      </c>
      <c r="C5" s="18" t="n">
        <v>23.4</v>
      </c>
      <c r="D5" s="18" t="s">
        <v>146</v>
      </c>
      <c r="E5" s="18" t="s">
        <v>172</v>
      </c>
      <c r="F5" s="18" t="s">
        <v>173</v>
      </c>
      <c r="G5" s="18" t="s">
        <v>178</v>
      </c>
      <c r="H5" s="18" t="s">
        <v>179</v>
      </c>
      <c r="I5" s="18" t="n">
        <v>43.2</v>
      </c>
      <c r="J5" s="18" t="n">
        <v>414.2</v>
      </c>
      <c r="K5" s="18" t="n">
        <v>4.4</v>
      </c>
      <c r="L5" s="18" t="n">
        <v>12.9</v>
      </c>
      <c r="M5" s="18" t="n">
        <v>16.3</v>
      </c>
      <c r="N5" s="18" t="n">
        <v>0</v>
      </c>
      <c r="O5" s="18" t="s">
        <v>171</v>
      </c>
    </row>
    <row r="6" customFormat="false" ht="15" hidden="false" customHeight="true" outlineLevel="0" collapsed="false">
      <c r="A6" s="16" t="s">
        <v>22</v>
      </c>
      <c r="B6" s="16" t="s">
        <v>23</v>
      </c>
      <c r="C6" s="18" t="n">
        <v>23.4</v>
      </c>
      <c r="D6" s="18" t="s">
        <v>146</v>
      </c>
      <c r="E6" s="18" t="s">
        <v>172</v>
      </c>
      <c r="F6" s="18" t="s">
        <v>173</v>
      </c>
      <c r="G6" s="18" t="s">
        <v>178</v>
      </c>
      <c r="H6" s="18" t="s">
        <v>179</v>
      </c>
      <c r="I6" s="18" t="n">
        <v>43.2</v>
      </c>
      <c r="J6" s="18" t="n">
        <v>414.2</v>
      </c>
      <c r="K6" s="18" t="n">
        <v>4.4</v>
      </c>
      <c r="L6" s="18" t="n">
        <v>12.9</v>
      </c>
      <c r="M6" s="18" t="n">
        <v>16.3</v>
      </c>
      <c r="N6" s="18" t="n">
        <v>0</v>
      </c>
      <c r="O6" s="18" t="s">
        <v>171</v>
      </c>
    </row>
    <row r="7" customFormat="false" ht="15" hidden="false" customHeight="true" outlineLevel="0" collapsed="false">
      <c r="A7" s="16" t="s">
        <v>25</v>
      </c>
      <c r="B7" s="16" t="s">
        <v>26</v>
      </c>
      <c r="C7" s="18" t="n">
        <v>23.2</v>
      </c>
      <c r="D7" s="18" t="s">
        <v>146</v>
      </c>
      <c r="E7" s="18" t="s">
        <v>172</v>
      </c>
      <c r="F7" s="18" t="s">
        <v>173</v>
      </c>
      <c r="G7" s="18" t="s">
        <v>178</v>
      </c>
      <c r="H7" s="18" t="s">
        <v>179</v>
      </c>
      <c r="I7" s="18" t="n">
        <v>43.2</v>
      </c>
      <c r="J7" s="18" t="n">
        <v>414.2</v>
      </c>
      <c r="K7" s="18" t="n">
        <v>4.4</v>
      </c>
      <c r="L7" s="18" t="n">
        <v>12.9</v>
      </c>
      <c r="M7" s="18" t="n">
        <v>16.3</v>
      </c>
      <c r="N7" s="18" t="n">
        <v>0</v>
      </c>
      <c r="O7" s="18" t="s">
        <v>171</v>
      </c>
    </row>
    <row r="8" customFormat="false" ht="15" hidden="false" customHeight="true" outlineLevel="0" collapsed="false">
      <c r="A8" s="16" t="s">
        <v>28</v>
      </c>
      <c r="B8" s="16" t="s">
        <v>29</v>
      </c>
      <c r="C8" s="18" t="n">
        <v>23.2</v>
      </c>
      <c r="D8" s="18" t="s">
        <v>180</v>
      </c>
      <c r="E8" s="18" t="s">
        <v>172</v>
      </c>
      <c r="F8" s="18" t="s">
        <v>173</v>
      </c>
      <c r="G8" s="18" t="s">
        <v>178</v>
      </c>
      <c r="H8" s="18" t="s">
        <v>179</v>
      </c>
      <c r="I8" s="18" t="n">
        <v>43.2</v>
      </c>
      <c r="J8" s="18" t="n">
        <v>414.2</v>
      </c>
      <c r="K8" s="18" t="n">
        <v>4.4</v>
      </c>
      <c r="L8" s="18" t="n">
        <v>12.9</v>
      </c>
      <c r="M8" s="18" t="n">
        <v>16.3</v>
      </c>
      <c r="N8" s="18" t="n">
        <v>0</v>
      </c>
      <c r="O8" s="18" t="s">
        <v>171</v>
      </c>
    </row>
    <row r="9" customFormat="false" ht="15" hidden="false" customHeight="true" outlineLevel="0" collapsed="false">
      <c r="A9" s="16" t="s">
        <v>31</v>
      </c>
      <c r="B9" s="16" t="s">
        <v>32</v>
      </c>
      <c r="C9" s="18" t="n">
        <v>23.2</v>
      </c>
      <c r="D9" s="18" t="s">
        <v>180</v>
      </c>
      <c r="E9" s="18" t="s">
        <v>181</v>
      </c>
      <c r="F9" s="18" t="s">
        <v>182</v>
      </c>
      <c r="G9" s="18" t="s">
        <v>183</v>
      </c>
      <c r="H9" s="18" t="s">
        <v>184</v>
      </c>
      <c r="I9" s="18" t="n">
        <v>37</v>
      </c>
      <c r="J9" s="18" t="n">
        <v>260</v>
      </c>
      <c r="K9" s="18" t="n">
        <v>10.3</v>
      </c>
      <c r="L9" s="18" t="n">
        <v>7</v>
      </c>
      <c r="M9" s="18" t="n">
        <v>10.4</v>
      </c>
      <c r="N9" s="18" t="n">
        <v>0</v>
      </c>
      <c r="O9" s="18" t="s">
        <v>171</v>
      </c>
    </row>
    <row r="10" customFormat="false" ht="15" hidden="false" customHeight="true" outlineLevel="0" collapsed="false">
      <c r="A10" s="16" t="s">
        <v>34</v>
      </c>
      <c r="B10" s="16" t="s">
        <v>35</v>
      </c>
      <c r="C10" s="18" t="n">
        <v>23.2</v>
      </c>
      <c r="D10" s="18" t="s">
        <v>180</v>
      </c>
      <c r="E10" s="18" t="s">
        <v>181</v>
      </c>
      <c r="F10" s="18" t="s">
        <v>182</v>
      </c>
      <c r="G10" s="18" t="s">
        <v>183</v>
      </c>
      <c r="H10" s="18" t="s">
        <v>184</v>
      </c>
      <c r="I10" s="18" t="n">
        <v>37</v>
      </c>
      <c r="J10" s="18" t="n">
        <v>260</v>
      </c>
      <c r="K10" s="18" t="n">
        <v>10.3</v>
      </c>
      <c r="L10" s="18" t="n">
        <v>7</v>
      </c>
      <c r="M10" s="18" t="n">
        <v>10.4</v>
      </c>
      <c r="N10" s="18" t="n">
        <v>0</v>
      </c>
      <c r="O10" s="18" t="s">
        <v>171</v>
      </c>
    </row>
    <row r="11" customFormat="false" ht="15" hidden="false" customHeight="true" outlineLevel="0" collapsed="false">
      <c r="A11" s="16" t="s">
        <v>36</v>
      </c>
      <c r="B11" s="16" t="s">
        <v>37</v>
      </c>
      <c r="C11" s="18" t="n">
        <v>23.2</v>
      </c>
      <c r="D11" s="18" t="s">
        <v>180</v>
      </c>
      <c r="E11" s="18" t="s">
        <v>181</v>
      </c>
      <c r="F11" s="18" t="s">
        <v>182</v>
      </c>
      <c r="G11" s="18" t="s">
        <v>183</v>
      </c>
      <c r="H11" s="18" t="s">
        <v>184</v>
      </c>
      <c r="I11" s="18" t="n">
        <v>37</v>
      </c>
      <c r="J11" s="18" t="n">
        <v>260</v>
      </c>
      <c r="K11" s="18" t="n">
        <v>10.3</v>
      </c>
      <c r="L11" s="18" t="n">
        <v>7</v>
      </c>
      <c r="M11" s="18" t="n">
        <v>10.4</v>
      </c>
      <c r="N11" s="18" t="n">
        <v>0</v>
      </c>
      <c r="O11" s="18" t="s">
        <v>171</v>
      </c>
    </row>
    <row r="12" customFormat="false" ht="15" hidden="false" customHeight="true" outlineLevel="0" collapsed="false">
      <c r="A12" s="16" t="s">
        <v>38</v>
      </c>
      <c r="B12" s="16" t="s">
        <v>39</v>
      </c>
      <c r="C12" s="18" t="n">
        <v>23.2</v>
      </c>
      <c r="D12" s="18" t="s">
        <v>180</v>
      </c>
      <c r="E12" s="18" t="s">
        <v>181</v>
      </c>
      <c r="F12" s="18" t="s">
        <v>182</v>
      </c>
      <c r="G12" s="18" t="s">
        <v>185</v>
      </c>
      <c r="H12" s="18" t="s">
        <v>186</v>
      </c>
      <c r="I12" s="18" t="n">
        <v>37</v>
      </c>
      <c r="J12" s="18" t="n">
        <v>260</v>
      </c>
      <c r="K12" s="18" t="n">
        <v>10.3</v>
      </c>
      <c r="L12" s="18" t="n">
        <v>7</v>
      </c>
      <c r="M12" s="18" t="n">
        <v>10.4</v>
      </c>
      <c r="N12" s="18" t="n">
        <v>0</v>
      </c>
      <c r="O12" s="18" t="s">
        <v>187</v>
      </c>
    </row>
    <row r="13" customFormat="false" ht="15" hidden="false" customHeight="true" outlineLevel="0" collapsed="false">
      <c r="A13" s="16" t="s">
        <v>41</v>
      </c>
      <c r="B13" s="16" t="s">
        <v>42</v>
      </c>
      <c r="C13" s="18" t="n">
        <v>23.2</v>
      </c>
      <c r="D13" s="18" t="s">
        <v>180</v>
      </c>
      <c r="E13" s="18" t="s">
        <v>181</v>
      </c>
      <c r="F13" s="18" t="s">
        <v>182</v>
      </c>
      <c r="G13" s="18" t="s">
        <v>185</v>
      </c>
      <c r="H13" s="18" t="s">
        <v>186</v>
      </c>
      <c r="I13" s="18" t="n">
        <v>37</v>
      </c>
      <c r="J13" s="18" t="n">
        <v>260</v>
      </c>
      <c r="K13" s="18" t="n">
        <v>10.3</v>
      </c>
      <c r="L13" s="18" t="n">
        <v>7</v>
      </c>
      <c r="M13" s="18" t="n">
        <v>10.4</v>
      </c>
      <c r="N13" s="18" t="n">
        <v>0</v>
      </c>
      <c r="O13" s="18" t="s">
        <v>187</v>
      </c>
    </row>
    <row r="14" customFormat="false" ht="15" hidden="false" customHeight="true" outlineLevel="0" collapsed="false">
      <c r="A14" s="16" t="s">
        <v>43</v>
      </c>
      <c r="B14" s="16" t="s">
        <v>44</v>
      </c>
      <c r="C14" s="18" t="n">
        <v>23.2</v>
      </c>
      <c r="D14" s="18" t="s">
        <v>180</v>
      </c>
      <c r="E14" s="18" t="s">
        <v>181</v>
      </c>
      <c r="F14" s="18" t="s">
        <v>182</v>
      </c>
      <c r="G14" s="18" t="s">
        <v>185</v>
      </c>
      <c r="H14" s="18" t="s">
        <v>186</v>
      </c>
      <c r="I14" s="18" t="n">
        <v>37</v>
      </c>
      <c r="J14" s="18" t="n">
        <v>260</v>
      </c>
      <c r="K14" s="18" t="n">
        <v>10.3</v>
      </c>
      <c r="L14" s="18" t="n">
        <v>7</v>
      </c>
      <c r="M14" s="18" t="n">
        <v>10.4</v>
      </c>
      <c r="N14" s="18" t="n">
        <v>0</v>
      </c>
      <c r="O14" s="18" t="s">
        <v>187</v>
      </c>
    </row>
    <row r="15" customFormat="false" ht="15" hidden="false" customHeight="true" outlineLevel="0" collapsed="false">
      <c r="A15" s="16" t="s">
        <v>46</v>
      </c>
      <c r="B15" s="16" t="s">
        <v>47</v>
      </c>
      <c r="C15" s="18" t="n">
        <v>23.2</v>
      </c>
      <c r="D15" s="18" t="s">
        <v>188</v>
      </c>
      <c r="E15" s="18" t="s">
        <v>181</v>
      </c>
      <c r="F15" s="18" t="s">
        <v>182</v>
      </c>
      <c r="G15" s="18" t="s">
        <v>185</v>
      </c>
      <c r="H15" s="18" t="s">
        <v>186</v>
      </c>
      <c r="I15" s="18" t="n">
        <v>37</v>
      </c>
      <c r="J15" s="18" t="n">
        <v>260</v>
      </c>
      <c r="K15" s="18" t="n">
        <v>10.3</v>
      </c>
      <c r="L15" s="18" t="n">
        <v>7</v>
      </c>
      <c r="M15" s="18" t="n">
        <v>10.4</v>
      </c>
      <c r="N15" s="18" t="n">
        <v>0</v>
      </c>
      <c r="O15" s="18" t="s">
        <v>187</v>
      </c>
    </row>
    <row r="16" customFormat="false" ht="15" hidden="false" customHeight="true" outlineLevel="0" collapsed="false">
      <c r="A16" s="16" t="s">
        <v>49</v>
      </c>
      <c r="B16" s="16" t="s">
        <v>50</v>
      </c>
      <c r="C16" s="18" t="n">
        <v>23.2</v>
      </c>
      <c r="D16" s="18" t="s">
        <v>188</v>
      </c>
      <c r="E16" s="18" t="s">
        <v>181</v>
      </c>
      <c r="F16" s="18" t="s">
        <v>182</v>
      </c>
      <c r="G16" s="18" t="s">
        <v>185</v>
      </c>
      <c r="H16" s="18" t="s">
        <v>186</v>
      </c>
      <c r="I16" s="18" t="n">
        <v>37</v>
      </c>
      <c r="J16" s="18" t="n">
        <v>260</v>
      </c>
      <c r="K16" s="18" t="n">
        <v>10.3</v>
      </c>
      <c r="L16" s="18" t="n">
        <v>7</v>
      </c>
      <c r="M16" s="18" t="n">
        <v>10.4</v>
      </c>
      <c r="N16" s="18" t="n">
        <v>4</v>
      </c>
      <c r="O16" s="18" t="s">
        <v>187</v>
      </c>
    </row>
    <row r="18" customFormat="false" ht="15" hidden="false" customHeight="true" outlineLevel="0" collapsed="false">
      <c r="A18" s="3" t="s">
        <v>189</v>
      </c>
    </row>
    <row r="20" customFormat="false" ht="15" hidden="false" customHeight="true" outlineLevel="0" collapsed="false">
      <c r="A20" s="19" t="s">
        <v>190</v>
      </c>
    </row>
    <row r="21" customFormat="false" ht="15" hidden="false" customHeight="true" outlineLevel="0" collapsed="false">
      <c r="A21" s="20" t="s">
        <v>191</v>
      </c>
    </row>
    <row r="22" customFormat="false" ht="15" hidden="false" customHeight="true" outlineLevel="0" collapsed="false">
      <c r="A22" s="20" t="s">
        <v>192</v>
      </c>
    </row>
    <row r="23" customFormat="false" ht="15" hidden="false" customHeight="true" outlineLevel="0" collapsed="false">
      <c r="A23" s="20" t="s">
        <v>193</v>
      </c>
    </row>
    <row r="24" customFormat="false" ht="15" hidden="false" customHeight="true" outlineLevel="0" collapsed="false">
      <c r="A24" s="20" t="s">
        <v>194</v>
      </c>
    </row>
    <row r="25" customFormat="false" ht="15" hidden="false" customHeight="true" outlineLevel="0" collapsed="false">
      <c r="A25" s="20" t="s">
        <v>195</v>
      </c>
    </row>
    <row r="26" customFormat="false" ht="15" hidden="false" customHeight="true" outlineLevel="0" collapsed="false">
      <c r="A26" s="20" t="s">
        <v>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5"/>
  </cols>
  <sheetData>
    <row r="1" customFormat="false" ht="15" hidden="false" customHeight="true" outlineLevel="0" collapsed="false">
      <c r="A1" s="21" t="s">
        <v>197</v>
      </c>
    </row>
    <row r="3" customFormat="false" ht="15" hidden="false" customHeight="true" outlineLevel="0" collapsed="false">
      <c r="A3" s="19" t="s">
        <v>198</v>
      </c>
    </row>
    <row r="4" customFormat="false" ht="60" hidden="false" customHeight="true" outlineLevel="0" collapsed="false">
      <c r="A4" s="22" t="s">
        <v>199</v>
      </c>
    </row>
    <row r="6" customFormat="false" ht="15" hidden="false" customHeight="true" outlineLevel="0" collapsed="false">
      <c r="A6" s="19" t="s">
        <v>200</v>
      </c>
    </row>
    <row r="7" customFormat="false" ht="45" hidden="false" customHeight="true" outlineLevel="0" collapsed="false">
      <c r="A7" s="22" t="s">
        <v>201</v>
      </c>
    </row>
    <row r="9" customFormat="false" ht="15" hidden="false" customHeight="true" outlineLevel="0" collapsed="false">
      <c r="A9" s="19" t="s">
        <v>202</v>
      </c>
    </row>
    <row r="10" customFormat="false" ht="90" hidden="false" customHeight="true" outlineLevel="0" collapsed="false">
      <c r="A10" s="22" t="s">
        <v>203</v>
      </c>
    </row>
    <row r="12" customFormat="false" ht="15" hidden="false" customHeight="true" outlineLevel="0" collapsed="false">
      <c r="A12" s="19" t="s">
        <v>204</v>
      </c>
    </row>
    <row r="13" customFormat="false" ht="105" hidden="false" customHeight="true" outlineLevel="0" collapsed="false">
      <c r="A13" s="22" t="s">
        <v>205</v>
      </c>
    </row>
    <row r="15" customFormat="false" ht="15" hidden="false" customHeight="true" outlineLevel="0" collapsed="false">
      <c r="A15" s="19" t="s">
        <v>206</v>
      </c>
    </row>
    <row r="16" customFormat="false" ht="45" hidden="false" customHeight="true" outlineLevel="0" collapsed="false">
      <c r="A16" s="22" t="s">
        <v>207</v>
      </c>
    </row>
    <row r="18" customFormat="false" ht="15" hidden="false" customHeight="true" outlineLevel="0" collapsed="false">
      <c r="A18" s="19" t="s">
        <v>208</v>
      </c>
    </row>
    <row r="19" customFormat="false" ht="90" hidden="false" customHeight="true" outlineLevel="0" collapsed="false">
      <c r="A19" s="22" t="s">
        <v>209</v>
      </c>
    </row>
    <row r="21" customFormat="false" ht="15" hidden="false" customHeight="true" outlineLevel="0" collapsed="false">
      <c r="A21" s="19" t="s">
        <v>210</v>
      </c>
    </row>
    <row r="22" customFormat="false" ht="90" hidden="false" customHeight="true" outlineLevel="0" collapsed="false">
      <c r="A22" s="22" t="s">
        <v>211</v>
      </c>
    </row>
    <row r="24" customFormat="false" ht="15" hidden="false" customHeight="true" outlineLevel="0" collapsed="false">
      <c r="A24" s="19" t="s">
        <v>212</v>
      </c>
    </row>
    <row r="25" customFormat="false" ht="45" hidden="false" customHeight="true" outlineLevel="0" collapsed="false">
      <c r="A25" s="22" t="s">
        <v>213</v>
      </c>
    </row>
    <row r="27" customFormat="false" ht="15" hidden="false" customHeight="true" outlineLevel="0" collapsed="false">
      <c r="A27" s="19" t="s">
        <v>214</v>
      </c>
    </row>
    <row r="28" customFormat="false" ht="75" hidden="false" customHeight="true" outlineLevel="0" collapsed="false">
      <c r="A28" s="22" t="s">
        <v>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2026-08-13T12:06:44Z</dcterms:created>
  <dc:creator>openpyxl</dc:creator>
  <dc:description/>
  <dc:language>en-US</dc:language>
  <cp:lastModifiedBy/>
  <dcterms:modified xsi:type="dcterms:W3CDTF">2026-08-17T12:18:26Z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